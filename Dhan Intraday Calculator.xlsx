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ght\Documents\My Excel\"/>
    </mc:Choice>
  </mc:AlternateContent>
  <xr:revisionPtr revIDLastSave="0" documentId="13_ncr:1_{EFE346A4-AF98-4470-89E6-B32D200CD080}" xr6:coauthVersionLast="47" xr6:coauthVersionMax="47" xr10:uidLastSave="{00000000-0000-0000-0000-000000000000}"/>
  <bookViews>
    <workbookView xWindow="-108" yWindow="-108" windowWidth="23256" windowHeight="12456" xr2:uid="{8E4A8CA6-097C-4C90-8039-D08EE4C76030}"/>
  </bookViews>
  <sheets>
    <sheet name="Risk Manager Calculator" sheetId="1" r:id="rId1"/>
    <sheet name="Order Estimate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<sst xmlns="http://schemas.openxmlformats.org/spreadsheetml/2006/main" count="92" uniqueCount="68">
  <si>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Intraday Calculator</t>
  </si>
  <si>
    <t>Dhan</t>
  </si>
  <si>
    <t>Start</t>
  </si>
  <si>
    <t>Bonuses</t>
  </si>
  <si>
    <t>Percent</t>
  </si>
  <si>
    <t>Amount</t>
  </si>
  <si>
    <t>Total Money</t>
  </si>
  <si>
    <t>Current</t>
  </si>
  <si>
    <t>Leverage</t>
  </si>
  <si>
    <t>Position</t>
  </si>
  <si>
    <t>Total Position</t>
  </si>
  <si>
    <t>Returns</t>
  </si>
  <si>
    <t>Leverage Funds</t>
  </si>
  <si>
    <t>Returns %</t>
  </si>
  <si>
    <t>Position to be used for desired SL TGT</t>
  </si>
  <si>
    <t>Your Funds</t>
  </si>
  <si>
    <t>Position amount we can have</t>
  </si>
  <si>
    <t>Daily Ledger</t>
  </si>
  <si>
    <t>Position Used</t>
  </si>
  <si>
    <t>Trade No.</t>
  </si>
  <si>
    <t>PnL</t>
  </si>
  <si>
    <t>Balance</t>
  </si>
  <si>
    <t>Risk</t>
  </si>
  <si>
    <t>Rate of MTF</t>
  </si>
  <si>
    <t>Charge on Borrowed Amount</t>
  </si>
  <si>
    <t>Target</t>
  </si>
  <si>
    <t>Total Charge</t>
  </si>
  <si>
    <t>Stop Loss</t>
  </si>
  <si>
    <t>Stock</t>
  </si>
  <si>
    <t>LTP</t>
  </si>
  <si>
    <t>Order Type</t>
  </si>
  <si>
    <t>(Buy or Sell)</t>
  </si>
  <si>
    <t>s</t>
  </si>
  <si>
    <t xml:space="preserve">Quantity </t>
  </si>
  <si>
    <t>Gross Profit</t>
  </si>
  <si>
    <t>Theoretical Risk:Reward</t>
  </si>
  <si>
    <t>Gross Loss</t>
  </si>
  <si>
    <t>Practical Risk Reward</t>
  </si>
  <si>
    <t>Total Profit</t>
  </si>
  <si>
    <t>Total Loss</t>
  </si>
  <si>
    <t>Desirable Risk Reward</t>
  </si>
  <si>
    <t>Transaction Overview</t>
  </si>
  <si>
    <t>BUY ESTIMATION</t>
  </si>
  <si>
    <t>SELL ESTIMATION TGT HIT</t>
  </si>
  <si>
    <t>Quantity</t>
  </si>
  <si>
    <t>Transactions Estimates #</t>
  </si>
  <si>
    <t>Buy Price (Market)</t>
  </si>
  <si>
    <t>Exchange Turnover</t>
  </si>
  <si>
    <t>Trade Value</t>
  </si>
  <si>
    <t>Brokerage (Buy)</t>
  </si>
  <si>
    <t>Brokerage (Sell)</t>
  </si>
  <si>
    <t>Intraday</t>
  </si>
  <si>
    <t>Exchange Charges</t>
  </si>
  <si>
    <t>Segment / Exchange</t>
  </si>
  <si>
    <t>Equity/NSE</t>
  </si>
  <si>
    <t>Securities Transaction Charges STT</t>
  </si>
  <si>
    <t>Goods and Services Tax GST</t>
  </si>
  <si>
    <t>SEBI Charges</t>
  </si>
  <si>
    <t>Investor Protection Fund Trust IPFT</t>
  </si>
  <si>
    <t>Clearing Charges</t>
  </si>
  <si>
    <t>Stamp Duty</t>
  </si>
  <si>
    <t>DP Charges</t>
  </si>
  <si>
    <t>Total Tax &amp; Charges (on buy)</t>
  </si>
  <si>
    <t>Total Tax &amp; Charges (on sell)</t>
  </si>
  <si>
    <t>TOTAL TAX &amp; CHARGES</t>
  </si>
  <si>
    <t>On TGT HIT</t>
  </si>
  <si>
    <t>SELL ESTIMATION SL HIT</t>
  </si>
  <si>
    <t>On SL 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</si>
</sst>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"/>
    <numFmt numFmtId="165" formatCode="&quot;₹&quot;\ * #,##0.00\ ;&quot;₹&quot;\ * \(#,##0.00\);\-"/>
    <numFmt numFmtId="166" formatCode="0.00000%"/>
    <numFmt numFmtId="167" formatCode="0.0&quot;x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0" fontId="2" fillId="0" borderId="0" xfId="2" applyNumberFormat="1" applyFont="1" applyFill="1"/>
    <xf numFmtId="0" fontId="2" fillId="0" borderId="0" xfId="0" applyFont="1" applyAlignment="1">
      <alignment horizontal="center"/>
    </xf>
    <xf numFmtId="44" fontId="2" fillId="0" borderId="0" xfId="0" applyNumberFormat="1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44" fontId="4" fillId="0" borderId="3" xfId="0" applyNumberFormat="1" applyFont="1" applyBorder="1"/>
    <xf numFmtId="0" fontId="3" fillId="0" borderId="3" xfId="0" applyFont="1" applyBorder="1" applyAlignment="1">
      <alignment horizontal="center"/>
    </xf>
    <xf numFmtId="10" fontId="3" fillId="0" borderId="3" xfId="2" applyNumberFormat="1" applyFont="1" applyFill="1" applyBorder="1" applyAlignment="1">
      <alignment horizontal="center"/>
    </xf>
    <xf numFmtId="0" fontId="2" fillId="0" borderId="3" xfId="0" applyFont="1" applyBorder="1"/>
    <xf numFmtId="44" fontId="2" fillId="0" borderId="3" xfId="1" applyNumberFormat="1" applyFont="1" applyFill="1" applyBorder="1"/>
    <xf numFmtId="44" fontId="2" fillId="0" borderId="3" xfId="2" applyNumberFormat="1" applyFont="1" applyBorder="1"/>
    <xf numFmtId="0" fontId="3" fillId="0" borderId="3" xfId="0" applyFont="1" applyBorder="1"/>
    <xf numFmtId="10" fontId="2" fillId="0" borderId="3" xfId="2" applyNumberFormat="1" applyFont="1" applyFill="1" applyBorder="1"/>
    <xf numFmtId="44" fontId="2" fillId="0" borderId="3" xfId="0" applyNumberFormat="1" applyFont="1" applyBorder="1"/>
    <xf numFmtId="10" fontId="3" fillId="0" borderId="3" xfId="2" applyNumberFormat="1" applyFont="1" applyFill="1" applyBorder="1"/>
    <xf numFmtId="44" fontId="3" fillId="0" borderId="3" xfId="0" applyNumberFormat="1" applyFont="1" applyBorder="1"/>
    <xf numFmtId="10" fontId="2" fillId="0" borderId="3" xfId="2" applyNumberFormat="1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3" fillId="0" borderId="3" xfId="0" applyNumberFormat="1" applyFont="1" applyBorder="1"/>
    <xf numFmtId="164" fontId="2" fillId="0" borderId="7" xfId="0" applyNumberFormat="1" applyFont="1" applyBorder="1"/>
    <xf numFmtId="165" fontId="2" fillId="0" borderId="7" xfId="0" applyNumberFormat="1" applyFont="1" applyBorder="1"/>
    <xf numFmtId="165" fontId="2" fillId="0" borderId="7" xfId="0" applyNumberFormat="1" applyFont="1" applyBorder="1" applyAlignment="1">
      <alignment horizontal="center"/>
    </xf>
    <xf numFmtId="166" fontId="2" fillId="0" borderId="3" xfId="2" applyNumberFormat="1" applyFont="1" applyFill="1" applyBorder="1"/>
    <xf numFmtId="165" fontId="5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indent="1"/>
    </xf>
    <xf numFmtId="44" fontId="4" fillId="0" borderId="3" xfId="2" applyNumberFormat="1" applyFont="1" applyFill="1" applyBorder="1"/>
    <xf numFmtId="10" fontId="2" fillId="0" borderId="3" xfId="2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indent="1"/>
    </xf>
    <xf numFmtId="2" fontId="7" fillId="0" borderId="3" xfId="2" applyNumberFormat="1" applyFont="1" applyFill="1" applyBorder="1"/>
    <xf numFmtId="0" fontId="3" fillId="0" borderId="0" xfId="0" applyFont="1" applyAlignment="1">
      <alignment horizontal="left" vertical="center" wrapText="1"/>
    </xf>
    <xf numFmtId="0" fontId="2" fillId="0" borderId="0" xfId="2" applyNumberFormat="1" applyFont="1" applyFill="1"/>
    <xf numFmtId="2" fontId="2" fillId="0" borderId="0" xfId="2" applyNumberFormat="1" applyFont="1" applyFill="1"/>
    <xf numFmtId="0" fontId="3" fillId="0" borderId="3" xfId="0" applyFont="1" applyBorder="1" applyAlignment="1">
      <alignment vertical="center"/>
    </xf>
    <xf numFmtId="44" fontId="3" fillId="2" borderId="3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0" fontId="2" fillId="0" borderId="0" xfId="2" applyNumberFormat="1" applyFont="1" applyFill="1" applyAlignment="1"/>
    <xf numFmtId="44" fontId="3" fillId="3" borderId="3" xfId="0" applyNumberFormat="1" applyFont="1" applyFill="1" applyBorder="1" applyAlignment="1">
      <alignment vertical="center"/>
    </xf>
    <xf numFmtId="2" fontId="4" fillId="0" borderId="0" xfId="2" applyNumberFormat="1" applyFont="1" applyFill="1"/>
    <xf numFmtId="167" fontId="2" fillId="0" borderId="0" xfId="2" applyNumberFormat="1" applyFont="1"/>
    <xf numFmtId="10" fontId="2" fillId="0" borderId="0" xfId="2" applyNumberFormat="1" applyFont="1"/>
    <xf numFmtId="2" fontId="2" fillId="0" borderId="0" xfId="0" applyNumberFormat="1" applyFont="1"/>
    <xf numFmtId="0" fontId="8" fillId="0" borderId="8" xfId="0" applyFont="1" applyBorder="1"/>
    <xf numFmtId="0" fontId="8" fillId="0" borderId="9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1" fontId="9" fillId="0" borderId="10" xfId="0" applyNumberFormat="1" applyFont="1" applyBorder="1"/>
    <xf numFmtId="0" fontId="8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4" fontId="9" fillId="0" borderId="11" xfId="1" applyNumberFormat="1" applyFont="1" applyBorder="1"/>
    <xf numFmtId="44" fontId="9" fillId="0" borderId="10" xfId="0" applyNumberFormat="1" applyFont="1" applyBorder="1"/>
    <xf numFmtId="44" fontId="9" fillId="0" borderId="0" xfId="0" applyNumberFormat="1" applyFont="1"/>
    <xf numFmtId="44" fontId="9" fillId="0" borderId="11" xfId="0" applyNumberFormat="1" applyFont="1" applyBorder="1"/>
    <xf numFmtId="0" fontId="9" fillId="0" borderId="11" xfId="0" applyFont="1" applyBorder="1"/>
    <xf numFmtId="44" fontId="8" fillId="0" borderId="11" xfId="0" applyNumberFormat="1" applyFont="1" applyBorder="1"/>
    <xf numFmtId="0" fontId="9" fillId="0" borderId="8" xfId="0" applyFont="1" applyBorder="1"/>
    <xf numFmtId="0" fontId="9" fillId="0" borderId="9" xfId="0" applyFont="1" applyBorder="1"/>
    <xf numFmtId="0" fontId="8" fillId="0" borderId="0" xfId="0" applyFont="1" applyAlignment="1">
      <alignment horizontal="center"/>
    </xf>
    <xf numFmtId="44" fontId="8" fillId="0" borderId="0" xfId="0" applyNumberFormat="1" applyFont="1"/>
    <xf numFmtId="0" fontId="9" fillId="4" borderId="0" xfId="0" applyFont="1" applyFill="1"/>
    <xf numFmtId="0" fontId="9" fillId="5" borderId="0" xfId="0" applyFont="1" applyFill="1"/>
    <xf numFmtId="44" fontId="8" fillId="5" borderId="11" xfId="0" applyNumberFormat="1" applyFont="1" applyFill="1" applyBorder="1"/>
    <xf numFmtId="44" fontId="8" fillId="4" borderId="11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b val="0"/>
        <i/>
        <strike val="0"/>
        <color theme="6" tint="0.39991454817346722"/>
      </font>
    </dxf>
    <dxf>
      <font>
        <b val="0"/>
        <i/>
        <color rgb="FFEE0000"/>
      </font>
    </dxf>
    <dxf>
      <font>
        <b val="0"/>
        <i/>
        <color theme="0" tint="-0.499984740745262"/>
      </font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9F7E-3E4D-473B-90F8-DA3BAB9E7639}">
  <dimension ref="B1:N51"/>
  <sheetViews>
    <sheetView tabSelected="1" workbookViewId="0">
      <selection activeCell="G9" sqref="G9"/>
    </sheetView>
  </sheetViews>
  <sheetFormatPr defaultColWidth="8.88671875" defaultRowHeight="14.4" x14ac:dyDescent="0.3"/>
  <cols>
    <col min="1" max="1" width="1.88671875" style="1" customWidth="1"/>
    <col min="2" max="2" width="30.88671875" style="1" bestFit="1" customWidth="1"/>
    <col min="3" max="3" width="23.109375" style="1" customWidth="1"/>
    <col min="4" max="4" width="8.88671875" style="1"/>
    <col min="5" max="5" width="22.5546875" style="2" customWidth="1"/>
    <col min="6" max="6" width="11.5546875" style="3" bestFit="1" customWidth="1"/>
    <col min="7" max="7" width="14.88671875" style="1" customWidth="1"/>
    <col min="8" max="8" width="8.88671875" style="1"/>
    <col min="9" max="9" width="11.6640625" style="1" bestFit="1" customWidth="1"/>
    <col min="10" max="10" width="17.77734375" style="1" customWidth="1"/>
    <col min="11" max="11" width="11.33203125" style="1" bestFit="1" customWidth="1"/>
    <col min="12" max="12" width="12.33203125" style="4" bestFit="1" customWidth="1"/>
    <col min="13" max="13" width="13.77734375" style="5" bestFit="1" customWidth="1"/>
    <col min="14" max="14" width="11.109375" style="1" bestFit="1" customWidth="1"/>
    <col min="15" max="16384" width="8.88671875" style="1"/>
  </cols>
  <sheetData>
    <row r="1" spans="2:14" ht="15" thickBot="1" x14ac:dyDescent="0.35"/>
    <row r="2" spans="2:14" ht="15" thickBot="1" x14ac:dyDescent="0.35">
      <c r="B2" s="6" t="s">
        <v>0</v>
      </c>
      <c r="C2" s="7" t="s">
        <v>1</v>
      </c>
      <c r="L2" s="8" t="s">
        <v>2</v>
      </c>
      <c r="M2" s="9">
        <v>40000</v>
      </c>
      <c r="N2" s="8" t="s">
        <v>3</v>
      </c>
    </row>
    <row r="3" spans="2:14" s="4" customFormat="1" x14ac:dyDescent="0.3">
      <c r="E3" s="10"/>
      <c r="F3" s="11" t="s">
        <v>4</v>
      </c>
      <c r="G3" s="10" t="s">
        <v>5</v>
      </c>
      <c r="I3" s="12" t="s">
        <v>6</v>
      </c>
      <c r="J3" s="13">
        <v>41821.089999999997</v>
      </c>
      <c r="L3" s="8" t="s">
        <v>7</v>
      </c>
      <c r="M3" s="14">
        <v>41821.089999999997</v>
      </c>
      <c r="N3" s="13">
        <v>0</v>
      </c>
    </row>
    <row r="4" spans="2:14" x14ac:dyDescent="0.3">
      <c r="B4" s="12" t="s">
        <v>8</v>
      </c>
      <c r="C4" s="12">
        <v>5</v>
      </c>
      <c r="E4" s="15" t="s">
        <v>9</v>
      </c>
      <c r="F4" s="16">
        <v>1</v>
      </c>
      <c r="G4" s="17">
        <v>208444</v>
      </c>
      <c r="I4" s="12" t="s">
        <v>10</v>
      </c>
      <c r="J4" s="17">
        <v>209105.44999999998</v>
      </c>
      <c r="L4" s="8" t="s">
        <v>11</v>
      </c>
      <c r="M4" s="14">
        <v>1821.0899999999965</v>
      </c>
    </row>
    <row r="5" spans="2:14" x14ac:dyDescent="0.3">
      <c r="E5" s="15" t="s">
        <v>12</v>
      </c>
      <c r="F5" s="18">
        <v>0.8</v>
      </c>
      <c r="G5" s="19">
        <v>166755.20000000001</v>
      </c>
      <c r="L5" s="8" t="s">
        <v>13</v>
      </c>
      <c r="M5" s="20">
        <v>4.5527249999999915E-2</v>
      </c>
    </row>
    <row r="6" spans="2:14" x14ac:dyDescent="0.3">
      <c r="B6" s="12" t="s">
        <v>14</v>
      </c>
      <c r="C6" s="17">
        <v>243770.36212156003</v>
      </c>
      <c r="E6" s="15" t="s">
        <v>15</v>
      </c>
      <c r="F6" s="16">
        <v>0.2</v>
      </c>
      <c r="G6" s="17">
        <v>41688.800000000003</v>
      </c>
    </row>
    <row r="7" spans="2:14" x14ac:dyDescent="0.3">
      <c r="B7" s="12" t="s">
        <v>16</v>
      </c>
      <c r="C7" s="17">
        <v>209105.44999999998</v>
      </c>
      <c r="I7" s="21" t="s">
        <v>17</v>
      </c>
      <c r="J7" s="22"/>
      <c r="K7" s="22"/>
      <c r="L7" s="23"/>
    </row>
    <row r="8" spans="2:14" x14ac:dyDescent="0.3">
      <c r="B8" s="12" t="s">
        <v>18</v>
      </c>
      <c r="C8" s="17">
        <v>208444</v>
      </c>
      <c r="I8" s="15" t="s">
        <v>19</v>
      </c>
      <c r="J8" s="24" t="s">
        <v>5</v>
      </c>
      <c r="K8" s="15" t="s">
        <v>20</v>
      </c>
      <c r="L8" s="10" t="s">
        <v>21</v>
      </c>
    </row>
    <row r="9" spans="2:14" x14ac:dyDescent="0.3">
      <c r="E9" s="15" t="s">
        <v>22</v>
      </c>
      <c r="F9" s="16">
        <v>0.02</v>
      </c>
      <c r="G9" s="17">
        <v>836.42179999999996</v>
      </c>
      <c r="I9" s="25">
        <v>1</v>
      </c>
      <c r="J9" s="26">
        <v>40000</v>
      </c>
      <c r="K9" s="26">
        <v>983.7</v>
      </c>
      <c r="L9" s="27">
        <v>40983.699999999997</v>
      </c>
    </row>
    <row r="10" spans="2:14" x14ac:dyDescent="0.3">
      <c r="B10" s="12" t="s">
        <v>23</v>
      </c>
      <c r="C10" s="28">
        <v>0</v>
      </c>
      <c r="I10" s="25">
        <v>2</v>
      </c>
      <c r="J10" s="26">
        <v>40983.699999999997</v>
      </c>
      <c r="K10" s="26">
        <v>1478</v>
      </c>
      <c r="L10" s="27">
        <v>42461.7</v>
      </c>
    </row>
    <row r="11" spans="2:14" x14ac:dyDescent="0.3">
      <c r="B11" s="12" t="s">
        <v>24</v>
      </c>
      <c r="C11" s="17">
        <v>0</v>
      </c>
      <c r="E11" s="15" t="s">
        <v>25</v>
      </c>
      <c r="F11" s="16">
        <v>8.6068918717889797E-3</v>
      </c>
      <c r="G11" s="17">
        <v>333.30636295270455</v>
      </c>
      <c r="H11" s="5"/>
      <c r="I11" s="25">
        <v>3</v>
      </c>
      <c r="J11" s="26">
        <v>42461.7</v>
      </c>
      <c r="K11" s="26">
        <v>-640.61000000000013</v>
      </c>
      <c r="L11" s="27">
        <v>41821.089999999997</v>
      </c>
    </row>
    <row r="12" spans="2:14" x14ac:dyDescent="0.3">
      <c r="B12" s="12" t="s">
        <v>26</v>
      </c>
      <c r="C12" s="17">
        <v>0</v>
      </c>
      <c r="E12" s="15" t="s">
        <v>27</v>
      </c>
      <c r="F12" s="16">
        <v>3.4311874204908666E-3</v>
      </c>
      <c r="G12" s="17">
        <v>337.35356521076903</v>
      </c>
      <c r="H12" s="5"/>
      <c r="I12" s="25">
        <v>4</v>
      </c>
      <c r="J12" s="26">
        <v>41821.089999999997</v>
      </c>
      <c r="K12" s="26">
        <v>0</v>
      </c>
      <c r="L12" s="29">
        <v>41821.089999999997</v>
      </c>
    </row>
    <row r="13" spans="2:14" x14ac:dyDescent="0.3">
      <c r="C13" s="5"/>
      <c r="I13" s="25">
        <v>5</v>
      </c>
      <c r="J13" s="26">
        <v>41821.089999999997</v>
      </c>
      <c r="K13" s="26">
        <v>0</v>
      </c>
      <c r="L13" s="29">
        <v>41821.089999999997</v>
      </c>
    </row>
    <row r="14" spans="2:14" x14ac:dyDescent="0.3">
      <c r="B14" s="12" t="s">
        <v>28</v>
      </c>
      <c r="C14" s="16"/>
      <c r="I14" s="25">
        <v>6</v>
      </c>
      <c r="J14" s="26">
        <v>41821.089999999997</v>
      </c>
      <c r="K14" s="26">
        <v>0</v>
      </c>
      <c r="L14" s="29">
        <v>41821.089999999997</v>
      </c>
    </row>
    <row r="15" spans="2:14" x14ac:dyDescent="0.3">
      <c r="B15" s="30" t="s">
        <v>29</v>
      </c>
      <c r="C15" s="31">
        <v>336.2</v>
      </c>
      <c r="E15" s="15" t="s">
        <v>30</v>
      </c>
      <c r="F15" s="32" t="s">
        <v>31</v>
      </c>
      <c r="G15" s="33" t="s">
        <v>32</v>
      </c>
      <c r="I15" s="25">
        <v>7</v>
      </c>
      <c r="J15" s="26">
        <v>41821.089999999997</v>
      </c>
      <c r="K15" s="26">
        <v>0</v>
      </c>
      <c r="L15" s="29">
        <v>41821.089999999997</v>
      </c>
    </row>
    <row r="16" spans="2:14" x14ac:dyDescent="0.3">
      <c r="B16" s="34" t="s">
        <v>33</v>
      </c>
      <c r="C16" s="35">
        <v>620</v>
      </c>
      <c r="I16" s="25">
        <v>8</v>
      </c>
      <c r="J16" s="26">
        <v>41821.089999999997</v>
      </c>
      <c r="K16" s="26">
        <v>0</v>
      </c>
      <c r="L16" s="29">
        <v>41821.089999999997</v>
      </c>
    </row>
    <row r="17" spans="2:13" x14ac:dyDescent="0.3">
      <c r="E17" s="36"/>
      <c r="I17" s="25">
        <v>9</v>
      </c>
      <c r="J17" s="26">
        <v>41821.089999999997</v>
      </c>
      <c r="K17" s="26">
        <v>0</v>
      </c>
      <c r="L17" s="29">
        <v>41821.089999999997</v>
      </c>
    </row>
    <row r="18" spans="2:13" x14ac:dyDescent="0.3">
      <c r="B18" s="12" t="s">
        <v>34</v>
      </c>
      <c r="C18" s="17">
        <v>1794.0549693231742</v>
      </c>
      <c r="E18" s="36" t="s">
        <v>35</v>
      </c>
      <c r="F18" s="37">
        <v>2.5084295367804992</v>
      </c>
      <c r="I18" s="25">
        <v>10</v>
      </c>
      <c r="J18" s="26">
        <v>41821.089999999997</v>
      </c>
      <c r="K18" s="26">
        <v>0</v>
      </c>
      <c r="L18" s="29">
        <v>41821.089999999997</v>
      </c>
    </row>
    <row r="19" spans="2:13" x14ac:dyDescent="0.3">
      <c r="B19" s="12" t="s">
        <v>36</v>
      </c>
      <c r="C19" s="17">
        <v>-715.21043067680807</v>
      </c>
      <c r="E19" s="36" t="s">
        <v>37</v>
      </c>
      <c r="F19" s="38">
        <v>2.0008613464888336</v>
      </c>
      <c r="I19" s="25">
        <v>11</v>
      </c>
      <c r="J19" s="26">
        <v>41821.089999999997</v>
      </c>
      <c r="K19" s="26">
        <v>0</v>
      </c>
      <c r="L19" s="29">
        <v>41821.089999999997</v>
      </c>
    </row>
    <row r="20" spans="2:13" x14ac:dyDescent="0.3">
      <c r="B20" s="39" t="s">
        <v>38</v>
      </c>
      <c r="C20" s="40">
        <v>1673.5640489805985</v>
      </c>
      <c r="E20" s="41"/>
      <c r="F20" s="42"/>
      <c r="I20" s="25">
        <v>12</v>
      </c>
      <c r="J20" s="26">
        <v>41821.089999999997</v>
      </c>
      <c r="K20" s="26">
        <v>0</v>
      </c>
      <c r="L20" s="29">
        <v>41821.089999999997</v>
      </c>
    </row>
    <row r="21" spans="2:13" x14ac:dyDescent="0.3">
      <c r="B21" s="39" t="s">
        <v>39</v>
      </c>
      <c r="C21" s="43">
        <v>-836.42179999999223</v>
      </c>
      <c r="E21" s="36" t="s">
        <v>40</v>
      </c>
      <c r="F21" s="44">
        <v>2</v>
      </c>
      <c r="I21" s="25">
        <v>13</v>
      </c>
      <c r="J21" s="26">
        <v>41821.089999999997</v>
      </c>
      <c r="K21" s="26">
        <v>0</v>
      </c>
      <c r="L21" s="29">
        <v>41821.089999999997</v>
      </c>
    </row>
    <row r="22" spans="2:13" x14ac:dyDescent="0.3">
      <c r="E22" s="45"/>
      <c r="F22" s="1"/>
      <c r="I22" s="25">
        <v>14</v>
      </c>
      <c r="J22" s="26">
        <v>41821.089999999997</v>
      </c>
      <c r="K22" s="26">
        <v>0</v>
      </c>
      <c r="L22" s="29">
        <v>41821.089999999997</v>
      </c>
      <c r="M22" s="1"/>
    </row>
    <row r="23" spans="2:13" x14ac:dyDescent="0.3">
      <c r="E23" s="45"/>
      <c r="F23" s="1"/>
      <c r="I23" s="25">
        <v>15</v>
      </c>
      <c r="J23" s="26">
        <v>41821.089999999997</v>
      </c>
      <c r="K23" s="26">
        <v>0</v>
      </c>
      <c r="L23" s="29">
        <v>41821.089999999997</v>
      </c>
      <c r="M23" s="1"/>
    </row>
    <row r="24" spans="2:13" x14ac:dyDescent="0.3">
      <c r="E24" s="45"/>
      <c r="F24" s="1"/>
      <c r="I24" s="25">
        <v>16</v>
      </c>
      <c r="J24" s="26">
        <v>41821.089999999997</v>
      </c>
      <c r="K24" s="26">
        <v>0</v>
      </c>
      <c r="L24" s="29">
        <v>41821.089999999997</v>
      </c>
      <c r="M24" s="1"/>
    </row>
    <row r="25" spans="2:13" x14ac:dyDescent="0.3">
      <c r="E25" s="45"/>
      <c r="F25" s="1"/>
      <c r="I25" s="25">
        <v>17</v>
      </c>
      <c r="J25" s="26">
        <v>41821.089999999997</v>
      </c>
      <c r="K25" s="26">
        <v>0</v>
      </c>
      <c r="L25" s="29">
        <v>41821.089999999997</v>
      </c>
      <c r="M25" s="1"/>
    </row>
    <row r="26" spans="2:13" x14ac:dyDescent="0.3">
      <c r="E26" s="1"/>
      <c r="F26" s="1"/>
      <c r="I26" s="25">
        <v>18</v>
      </c>
      <c r="J26" s="26">
        <v>41821.089999999997</v>
      </c>
      <c r="K26" s="26">
        <v>0</v>
      </c>
      <c r="L26" s="29">
        <v>41821.089999999997</v>
      </c>
      <c r="M26" s="1"/>
    </row>
    <row r="27" spans="2:13" x14ac:dyDescent="0.3">
      <c r="E27" s="46"/>
      <c r="F27" s="1"/>
      <c r="I27" s="25">
        <v>19</v>
      </c>
      <c r="J27" s="26">
        <v>41821.089999999997</v>
      </c>
      <c r="K27" s="26">
        <v>0</v>
      </c>
      <c r="L27" s="29">
        <v>41821.089999999997</v>
      </c>
      <c r="M27" s="1"/>
    </row>
    <row r="28" spans="2:13" x14ac:dyDescent="0.3">
      <c r="E28" s="1"/>
      <c r="F28" s="1"/>
      <c r="I28" s="25">
        <v>20</v>
      </c>
      <c r="J28" s="26">
        <v>41821.089999999997</v>
      </c>
      <c r="K28" s="26">
        <v>0</v>
      </c>
      <c r="L28" s="29">
        <v>41821.089999999997</v>
      </c>
      <c r="M28" s="1"/>
    </row>
    <row r="29" spans="2:13" x14ac:dyDescent="0.3">
      <c r="E29" s="1"/>
      <c r="F29" s="1"/>
      <c r="I29" s="25">
        <v>21</v>
      </c>
      <c r="J29" s="26">
        <v>41821.089999999997</v>
      </c>
      <c r="K29" s="26">
        <v>0</v>
      </c>
      <c r="L29" s="29">
        <v>41821.089999999997</v>
      </c>
      <c r="M29" s="1"/>
    </row>
    <row r="30" spans="2:13" x14ac:dyDescent="0.3">
      <c r="E30" s="1"/>
      <c r="F30" s="1"/>
      <c r="I30" s="25">
        <v>22</v>
      </c>
      <c r="J30" s="26">
        <v>41821.089999999997</v>
      </c>
      <c r="K30" s="26">
        <v>0</v>
      </c>
      <c r="L30" s="29">
        <v>41821.089999999997</v>
      </c>
      <c r="M30" s="1"/>
    </row>
    <row r="31" spans="2:13" x14ac:dyDescent="0.3">
      <c r="E31" s="1"/>
      <c r="F31" s="1"/>
      <c r="I31" s="25">
        <v>23</v>
      </c>
      <c r="J31" s="26">
        <v>41821.089999999997</v>
      </c>
      <c r="K31" s="26">
        <v>0</v>
      </c>
      <c r="L31" s="29">
        <v>41821.089999999997</v>
      </c>
      <c r="M31" s="1"/>
    </row>
    <row r="32" spans="2:13" x14ac:dyDescent="0.3">
      <c r="E32" s="1"/>
      <c r="F32" s="1"/>
      <c r="I32" s="25">
        <v>24</v>
      </c>
      <c r="J32" s="26">
        <v>41821.089999999997</v>
      </c>
      <c r="K32" s="26">
        <v>0</v>
      </c>
      <c r="L32" s="29">
        <v>41821.089999999997</v>
      </c>
      <c r="M32" s="1"/>
    </row>
    <row r="33" spans="5:13" x14ac:dyDescent="0.3">
      <c r="E33" s="1"/>
      <c r="F33" s="1"/>
      <c r="I33" s="25">
        <v>25</v>
      </c>
      <c r="J33" s="26">
        <v>41821.089999999997</v>
      </c>
      <c r="K33" s="26">
        <v>0</v>
      </c>
      <c r="L33" s="29">
        <v>41821.089999999997</v>
      </c>
      <c r="M33" s="1"/>
    </row>
    <row r="34" spans="5:13" x14ac:dyDescent="0.3">
      <c r="E34" s="1"/>
      <c r="F34" s="1"/>
      <c r="L34" s="1"/>
      <c r="M34" s="1"/>
    </row>
    <row r="35" spans="5:13" x14ac:dyDescent="0.3">
      <c r="E35" s="1"/>
      <c r="F35" s="1"/>
      <c r="L35" s="1"/>
      <c r="M35" s="1"/>
    </row>
    <row r="36" spans="5:13" x14ac:dyDescent="0.3">
      <c r="I36" s="47"/>
    </row>
    <row r="37" spans="5:13" x14ac:dyDescent="0.3">
      <c r="I37" s="47"/>
    </row>
    <row r="38" spans="5:13" x14ac:dyDescent="0.3">
      <c r="I38" s="47"/>
    </row>
    <row r="39" spans="5:13" x14ac:dyDescent="0.3">
      <c r="I39" s="47"/>
    </row>
    <row r="40" spans="5:13" x14ac:dyDescent="0.3">
      <c r="I40" s="47"/>
    </row>
    <row r="41" spans="5:13" x14ac:dyDescent="0.3">
      <c r="I41" s="47"/>
    </row>
    <row r="42" spans="5:13" x14ac:dyDescent="0.3">
      <c r="I42" s="47"/>
    </row>
    <row r="43" spans="5:13" x14ac:dyDescent="0.3">
      <c r="I43" s="47"/>
    </row>
    <row r="44" spans="5:13" x14ac:dyDescent="0.3">
      <c r="I44" s="47"/>
    </row>
    <row r="45" spans="5:13" x14ac:dyDescent="0.3">
      <c r="I45" s="47"/>
    </row>
    <row r="46" spans="5:13" x14ac:dyDescent="0.3">
      <c r="I46" s="47"/>
    </row>
    <row r="47" spans="5:13" x14ac:dyDescent="0.3">
      <c r="I47" s="47"/>
    </row>
    <row r="48" spans="5:13" x14ac:dyDescent="0.3">
      <c r="I48" s="47"/>
    </row>
    <row r="49" spans="9:9" x14ac:dyDescent="0.3">
      <c r="I49" s="47"/>
    </row>
    <row r="50" spans="9:9" x14ac:dyDescent="0.3">
      <c r="I50" s="47"/>
    </row>
    <row r="51" spans="9:9" x14ac:dyDescent="0.3">
      <c r="I51" s="47"/>
    </row>
  </sheetData>
  <mergeCells count="1">
    <mergeCell ref="I7:L7"/>
  </mergeCells>
  <conditionalFormatting sqref="C6:C8">
    <cfRule type="cellIs" dxfId="10" priority="11" operator="greaterThan">
      <formula>$J$4</formula>
    </cfRule>
  </conditionalFormatting>
  <conditionalFormatting sqref="G15">
    <cfRule type="containsText" dxfId="9" priority="9" operator="containsText" text="S">
      <formula>NOT(ISERROR(SEARCH("S",G15)))</formula>
    </cfRule>
    <cfRule type="containsText" dxfId="8" priority="10" operator="containsText" text="B">
      <formula>NOT(ISERROR(SEARCH("B",G15)))</formula>
    </cfRule>
  </conditionalFormatting>
  <conditionalFormatting sqref="K9:K33">
    <cfRule type="cellIs" dxfId="7" priority="6" operator="equal">
      <formula>0</formula>
    </cfRule>
    <cfRule type="cellIs" dxfId="6" priority="7" operator="lessThan">
      <formula>0</formula>
    </cfRule>
    <cfRule type="cellIs" dxfId="5" priority="8" operator="greaterThan">
      <formula>0</formula>
    </cfRule>
  </conditionalFormatting>
  <conditionalFormatting sqref="L9:L33">
    <cfRule type="cellIs" dxfId="4" priority="3" operator="equal">
      <formula>J9</formula>
    </cfRule>
    <cfRule type="cellIs" dxfId="3" priority="4" operator="lessThan">
      <formula>J9</formula>
    </cfRule>
    <cfRule type="cellIs" dxfId="2" priority="5" operator="greaterThan">
      <formula>J9</formula>
    </cfRule>
  </conditionalFormatting>
  <conditionalFormatting sqref="M3:M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D110-AEAC-49AA-A4B3-7F92E6ED6828}">
  <dimension ref="B2:O34"/>
  <sheetViews>
    <sheetView topLeftCell="A4" zoomScaleNormal="100" workbookViewId="0">
      <selection activeCell="E24" sqref="E24"/>
    </sheetView>
  </sheetViews>
  <sheetFormatPr defaultColWidth="8.88671875" defaultRowHeight="15" x14ac:dyDescent="0.25"/>
  <cols>
    <col min="1" max="1" width="8.88671875" style="52"/>
    <col min="2" max="2" width="28.5546875" style="52" customWidth="1"/>
    <col min="3" max="3" width="16.109375" style="52" bestFit="1" customWidth="1"/>
    <col min="4" max="4" width="8.88671875" style="52"/>
    <col min="5" max="5" width="37.109375" style="52" bestFit="1" customWidth="1"/>
    <col min="6" max="6" width="16.109375" style="52" bestFit="1" customWidth="1"/>
    <col min="7" max="7" width="3.88671875" style="52" customWidth="1"/>
    <col min="8" max="8" width="37.109375" style="52" bestFit="1" customWidth="1"/>
    <col min="9" max="10" width="16.109375" style="52" bestFit="1" customWidth="1"/>
    <col min="11" max="11" width="36.88671875" style="52" bestFit="1" customWidth="1"/>
    <col min="12" max="12" width="9.6640625" style="52" bestFit="1" customWidth="1"/>
    <col min="13" max="13" width="5" style="52" customWidth="1"/>
    <col min="14" max="14" width="36.88671875" style="52" bestFit="1" customWidth="1"/>
    <col min="15" max="15" width="9.6640625" style="52" bestFit="1" customWidth="1"/>
    <col min="16" max="16384" width="8.88671875" style="52"/>
  </cols>
  <sheetData>
    <row r="2" spans="2:15" s="50" customFormat="1" ht="15.6" x14ac:dyDescent="0.3">
      <c r="B2" s="48" t="s">
        <v>41</v>
      </c>
      <c r="C2" s="49"/>
      <c r="E2" s="51" t="s">
        <v>42</v>
      </c>
      <c r="F2" s="51"/>
      <c r="H2" s="51" t="s">
        <v>43</v>
      </c>
      <c r="I2" s="51"/>
      <c r="K2" s="51"/>
      <c r="L2" s="51"/>
      <c r="N2" s="51"/>
      <c r="O2" s="51"/>
    </row>
    <row r="3" spans="2:15" ht="15.6" x14ac:dyDescent="0.3">
      <c r="B3" s="52" t="s">
        <v>44</v>
      </c>
      <c r="C3" s="53">
        <v>620</v>
      </c>
      <c r="E3" s="54" t="s">
        <v>45</v>
      </c>
      <c r="F3" s="49"/>
      <c r="H3" s="54" t="s">
        <v>45</v>
      </c>
      <c r="I3" s="49"/>
      <c r="K3" s="55"/>
      <c r="L3" s="50"/>
      <c r="N3" s="55"/>
      <c r="O3" s="50"/>
    </row>
    <row r="4" spans="2:15" x14ac:dyDescent="0.25">
      <c r="B4" s="52" t="s">
        <v>46</v>
      </c>
      <c r="C4" s="56">
        <v>336.2</v>
      </c>
      <c r="E4" s="52" t="s">
        <v>47</v>
      </c>
      <c r="F4" s="57">
        <v>208444</v>
      </c>
      <c r="H4" s="52" t="s">
        <v>47</v>
      </c>
      <c r="I4" s="57">
        <v>206649.94503067681</v>
      </c>
      <c r="L4" s="58"/>
      <c r="O4" s="58"/>
    </row>
    <row r="5" spans="2:15" x14ac:dyDescent="0.25">
      <c r="B5" s="52" t="s">
        <v>48</v>
      </c>
      <c r="C5" s="59">
        <v>208444</v>
      </c>
      <c r="E5" s="52" t="s">
        <v>49</v>
      </c>
      <c r="F5" s="59">
        <v>20</v>
      </c>
      <c r="H5" s="52" t="s">
        <v>50</v>
      </c>
      <c r="I5" s="59">
        <v>20</v>
      </c>
      <c r="L5" s="58"/>
      <c r="O5" s="58"/>
    </row>
    <row r="6" spans="2:15" x14ac:dyDescent="0.25">
      <c r="B6" s="52" t="s">
        <v>30</v>
      </c>
      <c r="C6" s="60" t="s">
        <v>51</v>
      </c>
      <c r="E6" s="52" t="s">
        <v>52</v>
      </c>
      <c r="F6" s="59">
        <v>6.1907867999999997</v>
      </c>
      <c r="H6" s="52" t="s">
        <v>52</v>
      </c>
      <c r="I6" s="59">
        <v>6.1375033674111013</v>
      </c>
      <c r="L6" s="58"/>
      <c r="O6" s="58"/>
    </row>
    <row r="7" spans="2:15" x14ac:dyDescent="0.25">
      <c r="B7" s="52" t="s">
        <v>53</v>
      </c>
      <c r="C7" s="60" t="s">
        <v>54</v>
      </c>
      <c r="E7" s="52" t="s">
        <v>55</v>
      </c>
      <c r="F7" s="59">
        <v>0</v>
      </c>
      <c r="H7" s="52" t="s">
        <v>55</v>
      </c>
      <c r="I7" s="59">
        <v>51.66</v>
      </c>
      <c r="L7" s="58"/>
      <c r="O7" s="58"/>
    </row>
    <row r="8" spans="2:15" x14ac:dyDescent="0.25">
      <c r="E8" s="52" t="s">
        <v>56</v>
      </c>
      <c r="F8" s="59">
        <v>4.7143416239999993</v>
      </c>
      <c r="H8" s="52" t="s">
        <v>56</v>
      </c>
      <c r="I8" s="59">
        <v>4.7047506061339979</v>
      </c>
      <c r="L8" s="58"/>
      <c r="O8" s="58"/>
    </row>
    <row r="9" spans="2:15" x14ac:dyDescent="0.25">
      <c r="E9" s="52" t="s">
        <v>57</v>
      </c>
      <c r="F9" s="59">
        <v>0.20844399999999999</v>
      </c>
      <c r="H9" s="52" t="s">
        <v>57</v>
      </c>
      <c r="I9" s="59">
        <v>0.20664994503067682</v>
      </c>
      <c r="L9" s="58"/>
      <c r="O9" s="58"/>
    </row>
    <row r="10" spans="2:15" x14ac:dyDescent="0.25">
      <c r="E10" s="52" t="s">
        <v>58</v>
      </c>
      <c r="F10" s="59">
        <v>0.20844399999999999</v>
      </c>
      <c r="H10" s="52" t="s">
        <v>58</v>
      </c>
      <c r="I10" s="59">
        <v>0.21</v>
      </c>
      <c r="L10" s="58"/>
      <c r="O10" s="58"/>
    </row>
    <row r="11" spans="2:15" x14ac:dyDescent="0.25">
      <c r="E11" s="52" t="s">
        <v>59</v>
      </c>
      <c r="F11" s="59">
        <v>0</v>
      </c>
      <c r="H11" s="52" t="s">
        <v>59</v>
      </c>
      <c r="I11" s="59">
        <v>0</v>
      </c>
      <c r="L11" s="58"/>
      <c r="O11" s="58"/>
    </row>
    <row r="12" spans="2:15" x14ac:dyDescent="0.25">
      <c r="E12" s="52" t="s">
        <v>60</v>
      </c>
      <c r="F12" s="59">
        <v>6.25</v>
      </c>
      <c r="H12" s="52" t="s">
        <v>60</v>
      </c>
      <c r="I12" s="59">
        <v>0</v>
      </c>
      <c r="L12" s="58"/>
      <c r="O12" s="58"/>
    </row>
    <row r="13" spans="2:15" x14ac:dyDescent="0.25">
      <c r="E13" s="52" t="s">
        <v>61</v>
      </c>
      <c r="F13" s="59">
        <v>0</v>
      </c>
      <c r="H13" s="52" t="s">
        <v>61</v>
      </c>
      <c r="I13" s="59">
        <v>0</v>
      </c>
      <c r="L13" s="58"/>
      <c r="O13" s="58"/>
    </row>
    <row r="14" spans="2:15" ht="15.6" x14ac:dyDescent="0.3">
      <c r="E14" s="52" t="s">
        <v>62</v>
      </c>
      <c r="F14" s="61">
        <v>37.572016423999997</v>
      </c>
      <c r="H14" s="52" t="s">
        <v>63</v>
      </c>
      <c r="I14" s="61">
        <v>82.918903918575765</v>
      </c>
      <c r="L14" s="58"/>
      <c r="O14" s="58"/>
    </row>
    <row r="15" spans="2:15" x14ac:dyDescent="0.25">
      <c r="F15" s="58"/>
      <c r="I15" s="58"/>
      <c r="L15" s="58"/>
      <c r="O15" s="58"/>
    </row>
    <row r="16" spans="2:15" x14ac:dyDescent="0.25">
      <c r="B16" s="62" t="s">
        <v>64</v>
      </c>
      <c r="C16" s="63"/>
      <c r="F16" s="58"/>
      <c r="I16" s="58"/>
      <c r="L16" s="58"/>
      <c r="O16" s="58"/>
    </row>
    <row r="17" spans="2:15" ht="15.6" x14ac:dyDescent="0.3">
      <c r="B17" s="66" t="s">
        <v>65</v>
      </c>
      <c r="C17" s="69">
        <v>120.49092034257576</v>
      </c>
      <c r="H17" s="64" t="s">
        <v>66</v>
      </c>
      <c r="I17" s="64"/>
      <c r="N17" s="64"/>
      <c r="O17" s="64"/>
    </row>
    <row r="18" spans="2:15" ht="15.6" x14ac:dyDescent="0.3">
      <c r="B18" s="67" t="s">
        <v>67</v>
      </c>
      <c r="C18" s="68">
        <v>121.21136932318417</v>
      </c>
      <c r="H18" s="54" t="s">
        <v>45</v>
      </c>
      <c r="I18" s="49"/>
      <c r="N18" s="55"/>
      <c r="O18" s="50"/>
    </row>
    <row r="19" spans="2:15" x14ac:dyDescent="0.25">
      <c r="H19" s="52" t="s">
        <v>47</v>
      </c>
      <c r="I19" s="57">
        <v>209159.21043067679</v>
      </c>
      <c r="O19" s="58"/>
    </row>
    <row r="20" spans="2:15" ht="15.6" x14ac:dyDescent="0.3">
      <c r="E20" s="50"/>
      <c r="F20" s="50"/>
      <c r="G20" s="50"/>
      <c r="H20" s="52" t="s">
        <v>50</v>
      </c>
      <c r="I20" s="59">
        <v>20</v>
      </c>
      <c r="K20" s="50"/>
      <c r="L20" s="50"/>
      <c r="M20" s="50"/>
      <c r="O20" s="58"/>
    </row>
    <row r="21" spans="2:15" ht="15.6" x14ac:dyDescent="0.3">
      <c r="E21" s="55"/>
      <c r="F21" s="50"/>
      <c r="H21" s="52" t="s">
        <v>52</v>
      </c>
      <c r="I21" s="59">
        <v>6.2120285497911008</v>
      </c>
      <c r="K21" s="55"/>
      <c r="L21" s="50"/>
      <c r="O21" s="58"/>
    </row>
    <row r="22" spans="2:15" x14ac:dyDescent="0.25">
      <c r="F22" s="58"/>
      <c r="H22" s="52" t="s">
        <v>55</v>
      </c>
      <c r="I22" s="59">
        <v>52.29</v>
      </c>
      <c r="L22" s="58"/>
      <c r="O22" s="58"/>
    </row>
    <row r="23" spans="2:15" x14ac:dyDescent="0.25">
      <c r="F23" s="58"/>
      <c r="H23" s="52" t="s">
        <v>56</v>
      </c>
      <c r="I23" s="59">
        <v>4.718165138962398</v>
      </c>
      <c r="L23" s="58"/>
      <c r="O23" s="58"/>
    </row>
    <row r="24" spans="2:15" x14ac:dyDescent="0.25">
      <c r="F24" s="58"/>
      <c r="H24" s="52" t="s">
        <v>57</v>
      </c>
      <c r="I24" s="59">
        <v>0.20915921043067681</v>
      </c>
      <c r="L24" s="58"/>
      <c r="O24" s="58"/>
    </row>
    <row r="25" spans="2:15" x14ac:dyDescent="0.25">
      <c r="F25" s="58"/>
      <c r="H25" s="52" t="s">
        <v>58</v>
      </c>
      <c r="I25" s="59">
        <v>0.21</v>
      </c>
      <c r="L25" s="58"/>
      <c r="O25" s="58"/>
    </row>
    <row r="26" spans="2:15" x14ac:dyDescent="0.25">
      <c r="F26" s="58"/>
      <c r="H26" s="52" t="s">
        <v>59</v>
      </c>
      <c r="I26" s="59">
        <v>0</v>
      </c>
      <c r="L26" s="58"/>
      <c r="O26" s="58"/>
    </row>
    <row r="27" spans="2:15" x14ac:dyDescent="0.25">
      <c r="F27" s="58"/>
      <c r="H27" s="52" t="s">
        <v>60</v>
      </c>
      <c r="I27" s="59">
        <v>0</v>
      </c>
      <c r="L27" s="58"/>
      <c r="O27" s="58"/>
    </row>
    <row r="28" spans="2:15" x14ac:dyDescent="0.25">
      <c r="F28" s="58"/>
      <c r="H28" s="52" t="s">
        <v>61</v>
      </c>
      <c r="I28" s="59">
        <v>0</v>
      </c>
      <c r="L28" s="58"/>
      <c r="O28" s="58"/>
    </row>
    <row r="29" spans="2:15" ht="15.6" x14ac:dyDescent="0.3">
      <c r="F29" s="58"/>
      <c r="H29" s="52" t="s">
        <v>63</v>
      </c>
      <c r="I29" s="61">
        <v>83.639352899184175</v>
      </c>
      <c r="L29" s="58"/>
      <c r="O29" s="58"/>
    </row>
    <row r="30" spans="2:15" x14ac:dyDescent="0.25">
      <c r="F30" s="58"/>
      <c r="I30" s="58"/>
    </row>
    <row r="31" spans="2:15" x14ac:dyDescent="0.25">
      <c r="F31" s="58"/>
    </row>
    <row r="32" spans="2:15" ht="15.6" x14ac:dyDescent="0.3">
      <c r="F32" s="65"/>
    </row>
    <row r="33" spans="6:9" ht="15.6" x14ac:dyDescent="0.3">
      <c r="F33" s="65"/>
    </row>
    <row r="34" spans="6:9" x14ac:dyDescent="0.25">
      <c r="F34" s="58"/>
      <c r="I34" s="58"/>
    </row>
  </sheetData>
  <mergeCells count="4"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Manager Calculator</vt:lpstr>
      <vt:lpstr>Order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Choudhary</dc:creator>
  <cp:lastModifiedBy>Naman Choudhary</cp:lastModifiedBy>
  <dcterms:created xsi:type="dcterms:W3CDTF">2025-07-06T15:32:02Z</dcterms:created>
  <dcterms:modified xsi:type="dcterms:W3CDTF">2025-07-06T15:35:04Z</dcterms:modified>
</cp:coreProperties>
</file>