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ght\Documents\CAREER\"/>
    </mc:Choice>
  </mc:AlternateContent>
  <xr:revisionPtr revIDLastSave="0" documentId="8_{81511462-3958-47C6-85B0-2FBF45635CD1}" xr6:coauthVersionLast="47" xr6:coauthVersionMax="47" xr10:uidLastSave="{00000000-0000-0000-0000-000000000000}"/>
  <bookViews>
    <workbookView xWindow="-108" yWindow="-108" windowWidth="23256" windowHeight="12456" xr2:uid="{E26E18FD-3A64-47CE-9660-FB6061760B6E}"/>
  </bookViews>
  <sheets>
    <sheet name="Intraday or Delivery RM" sheetId="1" r:id="rId1"/>
    <sheet name="Order Estimator" sheetId="2" r:id="rId2"/>
  </sheets>
  <definedNames>
    <definedName name="_xlnm._FilterDatabase" localSheetId="0" hidden="1">'Intraday or Delivery RM'!$F$24:$M$33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'Intraday or Delivery RM'!$C$8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'Intraday or Delivery RM'!$J$7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er" localSheetId="0" hidden="1">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8" i="1" s="1"/>
  <c r="F7" i="1" s="1"/>
  <c r="M3" i="1"/>
  <c r="J12" i="1" s="1"/>
  <c r="M12" i="1" s="1"/>
  <c r="J13" i="1" s="1"/>
  <c r="M6" i="1"/>
  <c r="J4" i="1"/>
  <c r="I28" i="2"/>
  <c r="I13" i="2"/>
  <c r="C4" i="2"/>
  <c r="M4" i="1" l="1"/>
  <c r="M13" i="1"/>
  <c r="J14" i="1" s="1"/>
  <c r="L14" i="1" s="1"/>
  <c r="L13" i="1"/>
  <c r="L12" i="1"/>
  <c r="M14" i="1" l="1"/>
  <c r="J15" i="1" s="1"/>
  <c r="M15" i="1" l="1"/>
  <c r="J16" i="1" s="1"/>
  <c r="L16" i="1" s="1"/>
  <c r="L15" i="1"/>
  <c r="M16" i="1" l="1"/>
  <c r="J17" i="1" s="1"/>
  <c r="L17" i="1" s="1"/>
  <c r="M7" i="1"/>
  <c r="M17" i="1" l="1"/>
  <c r="J18" i="1" s="1"/>
  <c r="L18" i="1" s="1"/>
  <c r="M18" i="1" l="1"/>
  <c r="J19" i="1" s="1"/>
  <c r="L19" i="1" s="1"/>
  <c r="M19" i="1" l="1"/>
  <c r="J20" i="1" s="1"/>
  <c r="L20" i="1" s="1"/>
  <c r="M20" i="1" l="1"/>
  <c r="J21" i="1" s="1"/>
  <c r="L21" i="1" s="1"/>
  <c r="M21" i="1" l="1"/>
  <c r="J22" i="1" s="1"/>
  <c r="L22" i="1" s="1"/>
  <c r="M22" i="1" l="1"/>
  <c r="J23" i="1" s="1"/>
  <c r="L23" i="1" s="1"/>
  <c r="M23" i="1" l="1"/>
  <c r="J24" i="1" s="1"/>
  <c r="L24" i="1" s="1"/>
  <c r="M24" i="1" l="1"/>
  <c r="J25" i="1" l="1"/>
  <c r="L25" i="1" s="1"/>
  <c r="M25" i="1" l="1"/>
  <c r="J26" i="1" s="1"/>
  <c r="L26" i="1" s="1"/>
  <c r="M26" i="1" l="1"/>
  <c r="J27" i="1" s="1"/>
  <c r="L27" i="1" s="1"/>
  <c r="M27" i="1" l="1"/>
  <c r="J28" i="1" s="1"/>
  <c r="L28" i="1" s="1"/>
  <c r="M28" i="1" l="1"/>
  <c r="J29" i="1" s="1"/>
  <c r="L29" i="1" s="1"/>
  <c r="M29" i="1" l="1"/>
  <c r="J30" i="1" s="1"/>
  <c r="L30" i="1" s="1"/>
  <c r="M30" i="1" l="1"/>
  <c r="J31" i="1" s="1"/>
  <c r="L31" i="1" s="1"/>
  <c r="M31" i="1" l="1"/>
  <c r="J32" i="1" s="1"/>
  <c r="L32" i="1" s="1"/>
  <c r="M32" i="1" l="1"/>
  <c r="J33" i="1" s="1"/>
  <c r="L33" i="1" s="1"/>
  <c r="M33" i="1" l="1"/>
  <c r="J34" i="1" s="1"/>
  <c r="L34" i="1" s="1"/>
  <c r="M34" i="1" l="1"/>
  <c r="J35" i="1" s="1"/>
  <c r="L35" i="1" s="1"/>
  <c r="M35" i="1" l="1"/>
  <c r="J36" i="1" l="1"/>
  <c r="L36" i="1" l="1"/>
  <c r="M36" i="1"/>
  <c r="J6" i="1" l="1" a="1"/>
  <c r="J6" i="1" s="1"/>
  <c r="J7" i="1" s="1"/>
  <c r="C7" i="1" s="1"/>
  <c r="C16" i="1" s="1"/>
  <c r="G10" i="1" l="1"/>
  <c r="M8" i="1"/>
  <c r="C8" i="1"/>
  <c r="G6" i="1" s="1"/>
  <c r="C3" i="2"/>
  <c r="C5" i="2" l="1"/>
  <c r="G8" i="1"/>
  <c r="G7" i="1"/>
  <c r="F4" i="2" l="1"/>
  <c r="F7" i="2" s="1"/>
  <c r="I20" i="2"/>
  <c r="F5" i="2"/>
  <c r="I5" i="2"/>
  <c r="F6" i="2" l="1"/>
  <c r="F8" i="2" s="1"/>
  <c r="F10" i="2"/>
  <c r="F12" i="2"/>
  <c r="F9" i="2"/>
  <c r="F14" i="2" l="1"/>
  <c r="C6" i="1" l="1"/>
  <c r="F12" i="1"/>
  <c r="G12" i="1"/>
  <c r="F13" i="1"/>
  <c r="G13" i="1"/>
  <c r="C18" i="1"/>
  <c r="F18" i="1"/>
  <c r="C19" i="1"/>
  <c r="F19" i="1"/>
  <c r="C20" i="1"/>
  <c r="C21" i="1"/>
  <c r="I4" i="2"/>
  <c r="I6" i="2"/>
  <c r="I7" i="2"/>
  <c r="I8" i="2"/>
  <c r="I9" i="2"/>
  <c r="I10" i="2"/>
  <c r="I14" i="2"/>
  <c r="C17" i="2"/>
  <c r="C18" i="2"/>
  <c r="I19" i="2"/>
  <c r="I21" i="2"/>
  <c r="I22" i="2"/>
  <c r="I23" i="2"/>
  <c r="I24" i="2"/>
  <c r="I25" i="2"/>
  <c r="I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<sst xmlns="http://schemas.openxmlformats.org/spreadsheetml/2006/main" count="100" uniqueCount="75">
  <si>
    <t>Intraday Calculator</t>
  </si>
  <si>
    <t>Dhan</t>
  </si>
  <si>
    <t>Percent</t>
  </si>
  <si>
    <t>Amount</t>
  </si>
  <si>
    <t>Leverage</t>
  </si>
  <si>
    <t>Position</t>
  </si>
  <si>
    <t>Total Money</t>
  </si>
  <si>
    <t>Leverage Funds</t>
  </si>
  <si>
    <t>Total Position</t>
  </si>
  <si>
    <t>Position to be used for desired SL TGT</t>
  </si>
  <si>
    <t>Your Funds</t>
  </si>
  <si>
    <t>Position amount we can have</t>
  </si>
  <si>
    <t>Position Used</t>
  </si>
  <si>
    <t>Risk</t>
  </si>
  <si>
    <t>Rate of MTF</t>
  </si>
  <si>
    <t>Charge on Borrowed Amount</t>
  </si>
  <si>
    <t>Target</t>
  </si>
  <si>
    <t>Stop Loss</t>
  </si>
  <si>
    <t>Stock</t>
  </si>
  <si>
    <t>LTP</t>
  </si>
  <si>
    <t>Order Type</t>
  </si>
  <si>
    <t>(Buy or Sell)</t>
  </si>
  <si>
    <t xml:space="preserve">Quantity </t>
  </si>
  <si>
    <t>Gross Profit</t>
  </si>
  <si>
    <t>Gross Loss</t>
  </si>
  <si>
    <t>Total Profit</t>
  </si>
  <si>
    <t>Total Loss</t>
  </si>
  <si>
    <t>Transaction Overview</t>
  </si>
  <si>
    <t>BUY ESTIMATION</t>
  </si>
  <si>
    <t>SELL ESTIMATION TGT HIT</t>
  </si>
  <si>
    <t>Quantity</t>
  </si>
  <si>
    <t>Transactions Estimates #</t>
  </si>
  <si>
    <t>Buy Price (Market)</t>
  </si>
  <si>
    <t>Exchange Turnover</t>
  </si>
  <si>
    <t>Trade Value</t>
  </si>
  <si>
    <t>Brokerage (Buy)</t>
  </si>
  <si>
    <t>Brokerage (Sell)</t>
  </si>
  <si>
    <t>Intraday</t>
  </si>
  <si>
    <t>Exchange Charges</t>
  </si>
  <si>
    <t>Segment / Exchange</t>
  </si>
  <si>
    <t>Equity/NSE</t>
  </si>
  <si>
    <t>Securities Transaction Charges STT</t>
  </si>
  <si>
    <t>Goods and Services Tax GST</t>
  </si>
  <si>
    <t>SEBI Charges</t>
  </si>
  <si>
    <t>Investor Protection Fund Trust IPFT</t>
  </si>
  <si>
    <t>Clearing Charges</t>
  </si>
  <si>
    <t>Stamp Duty</t>
  </si>
  <si>
    <t>DP Charges</t>
  </si>
  <si>
    <t>Total Tax &amp; Charges (on buy)</t>
  </si>
  <si>
    <t>Total Tax &amp; Charges (on sell)</t>
  </si>
  <si>
    <t>TOTAL TAX &amp; CHARGES</t>
  </si>
  <si>
    <t>On TGT HIT</t>
  </si>
  <si>
    <t>SELL ESTIMATION SL HIT</t>
  </si>
  <si>
    <t>On SL HIT</t>
  </si>
  <si>
    <t>Practical Risk Reward</t>
  </si>
  <si>
    <t>Theoretical Risk:Reward</t>
  </si>
  <si>
    <t>Total Charge</t>
  </si>
  <si>
    <t>Daily Ledger</t>
  </si>
  <si>
    <t>PnL</t>
  </si>
  <si>
    <t>Balance</t>
  </si>
  <si>
    <t>Returns</t>
  </si>
  <si>
    <t>Returns %</t>
  </si>
  <si>
    <t>Current</t>
  </si>
  <si>
    <t>Desirable Risk Reward</t>
  </si>
  <si>
    <t>Type of Trade</t>
  </si>
  <si>
    <t>Start Date</t>
  </si>
  <si>
    <t>PnL %</t>
  </si>
  <si>
    <t>Date</t>
  </si>
  <si>
    <t>Total Cap.</t>
  </si>
  <si>
    <t>Initial Cap.</t>
  </si>
  <si>
    <t>Additional if added</t>
  </si>
  <si>
    <t>Check -------&gt;</t>
  </si>
  <si>
    <t>Trade Day</t>
  </si>
  <si>
    <t>Today's Date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</si>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</sst>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00%"/>
    <numFmt numFmtId="165" formatCode="0."/>
    <numFmt numFmtId="166" formatCode="&quot;₹&quot;\ * #,##0.00\ ;&quot;₹&quot;\ * \(#,##0.00\);\-"/>
    <numFmt numFmtId="167" formatCode="0.0&quot;x&quot;"/>
    <numFmt numFmtId="168" formatCode="0.00&quot;x&quot;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rgb="FF0000FF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left" vertical="center"/>
    </xf>
    <xf numFmtId="0" fontId="4" fillId="0" borderId="4" xfId="0" applyFont="1" applyBorder="1"/>
    <xf numFmtId="0" fontId="5" fillId="0" borderId="5" xfId="0" applyFont="1" applyBorder="1"/>
    <xf numFmtId="44" fontId="4" fillId="0" borderId="4" xfId="0" applyNumberFormat="1" applyFont="1" applyBorder="1"/>
    <xf numFmtId="44" fontId="4" fillId="0" borderId="4" xfId="1" applyNumberFormat="1" applyFont="1" applyBorder="1"/>
    <xf numFmtId="1" fontId="4" fillId="0" borderId="3" xfId="0" applyNumberFormat="1" applyFont="1" applyBorder="1"/>
    <xf numFmtId="44" fontId="4" fillId="0" borderId="3" xfId="0" applyNumberFormat="1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44" fontId="4" fillId="0" borderId="0" xfId="0" applyNumberFormat="1" applyFont="1"/>
    <xf numFmtId="0" fontId="4" fillId="0" borderId="5" xfId="0" applyFont="1" applyBorder="1"/>
    <xf numFmtId="44" fontId="3" fillId="0" borderId="1" xfId="2" applyNumberFormat="1" applyFont="1" applyFill="1" applyBorder="1"/>
    <xf numFmtId="0" fontId="6" fillId="0" borderId="1" xfId="0" applyFont="1" applyBorder="1" applyAlignment="1">
      <alignment horizontal="left" indent="1"/>
    </xf>
    <xf numFmtId="0" fontId="6" fillId="0" borderId="0" xfId="0" applyFont="1"/>
    <xf numFmtId="0" fontId="7" fillId="0" borderId="0" xfId="0" applyFont="1"/>
    <xf numFmtId="10" fontId="6" fillId="0" borderId="0" xfId="2" applyNumberFormat="1" applyFont="1" applyFill="1"/>
    <xf numFmtId="0" fontId="6" fillId="0" borderId="0" xfId="0" applyFont="1" applyAlignment="1">
      <alignment horizontal="center"/>
    </xf>
    <xf numFmtId="44" fontId="6" fillId="0" borderId="0" xfId="0" applyNumberFormat="1" applyFont="1"/>
    <xf numFmtId="0" fontId="6" fillId="0" borderId="1" xfId="0" applyFont="1" applyBorder="1"/>
    <xf numFmtId="44" fontId="6" fillId="0" borderId="1" xfId="0" applyNumberFormat="1" applyFont="1" applyBorder="1"/>
    <xf numFmtId="0" fontId="7" fillId="0" borderId="1" xfId="0" applyFont="1" applyBorder="1" applyAlignment="1">
      <alignment vertical="center"/>
    </xf>
    <xf numFmtId="44" fontId="7" fillId="2" borderId="1" xfId="0" applyNumberFormat="1" applyFont="1" applyFill="1" applyBorder="1" applyAlignment="1">
      <alignment vertical="center"/>
    </xf>
    <xf numFmtId="44" fontId="7" fillId="3" borderId="1" xfId="0" applyNumberFormat="1" applyFont="1" applyFill="1" applyBorder="1" applyAlignment="1">
      <alignment vertical="center"/>
    </xf>
    <xf numFmtId="10" fontId="6" fillId="0" borderId="0" xfId="2" applyNumberFormat="1" applyFont="1" applyFill="1" applyAlignment="1"/>
    <xf numFmtId="0" fontId="7" fillId="0" borderId="1" xfId="0" applyFont="1" applyBorder="1"/>
    <xf numFmtId="10" fontId="6" fillId="0" borderId="1" xfId="2" applyNumberFormat="1" applyFont="1" applyFill="1" applyBorder="1"/>
    <xf numFmtId="0" fontId="7" fillId="0" borderId="1" xfId="0" applyFont="1" applyBorder="1" applyAlignment="1">
      <alignment horizontal="center"/>
    </xf>
    <xf numFmtId="10" fontId="7" fillId="0" borderId="1" xfId="2" applyNumberFormat="1" applyFont="1" applyFill="1" applyBorder="1" applyAlignment="1">
      <alignment horizontal="center"/>
    </xf>
    <xf numFmtId="164" fontId="6" fillId="0" borderId="1" xfId="2" applyNumberFormat="1" applyFont="1" applyFill="1" applyBorder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0" fontId="6" fillId="0" borderId="1" xfId="2" applyNumberFormat="1" applyFont="1" applyFill="1" applyBorder="1" applyAlignment="1">
      <alignment horizontal="center" vertical="center"/>
    </xf>
    <xf numFmtId="10" fontId="7" fillId="0" borderId="1" xfId="2" applyNumberFormat="1" applyFont="1" applyFill="1" applyBorder="1"/>
    <xf numFmtId="44" fontId="7" fillId="0" borderId="1" xfId="0" applyNumberFormat="1" applyFont="1" applyBorder="1"/>
    <xf numFmtId="165" fontId="6" fillId="0" borderId="7" xfId="0" applyNumberFormat="1" applyFont="1" applyBorder="1"/>
    <xf numFmtId="166" fontId="6" fillId="0" borderId="7" xfId="0" applyNumberFormat="1" applyFont="1" applyBorder="1"/>
    <xf numFmtId="166" fontId="6" fillId="0" borderId="7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0" fontId="6" fillId="0" borderId="1" xfId="2" applyNumberFormat="1" applyFont="1" applyBorder="1"/>
    <xf numFmtId="44" fontId="6" fillId="0" borderId="1" xfId="1" applyNumberFormat="1" applyFont="1" applyFill="1" applyBorder="1"/>
    <xf numFmtId="0" fontId="9" fillId="0" borderId="1" xfId="0" applyFont="1" applyBorder="1" applyAlignment="1">
      <alignment horizontal="center"/>
    </xf>
    <xf numFmtId="167" fontId="6" fillId="0" borderId="0" xfId="2" applyNumberFormat="1" applyFont="1"/>
    <xf numFmtId="166" fontId="10" fillId="0" borderId="7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indent="1"/>
    </xf>
    <xf numFmtId="2" fontId="11" fillId="0" borderId="1" xfId="2" applyNumberFormat="1" applyFont="1" applyFill="1" applyBorder="1"/>
    <xf numFmtId="2" fontId="3" fillId="0" borderId="0" xfId="2" applyNumberFormat="1" applyFont="1" applyFill="1"/>
    <xf numFmtId="0" fontId="4" fillId="4" borderId="0" xfId="0" applyFont="1" applyFill="1"/>
    <xf numFmtId="44" fontId="8" fillId="4" borderId="4" xfId="0" applyNumberFormat="1" applyFont="1" applyFill="1" applyBorder="1"/>
    <xf numFmtId="0" fontId="4" fillId="5" borderId="0" xfId="0" applyFont="1" applyFill="1"/>
    <xf numFmtId="44" fontId="8" fillId="5" borderId="4" xfId="0" applyNumberFormat="1" applyFont="1" applyFill="1" applyBorder="1"/>
    <xf numFmtId="10" fontId="3" fillId="0" borderId="1" xfId="2" applyNumberFormat="1" applyFont="1" applyFill="1" applyBorder="1"/>
    <xf numFmtId="168" fontId="6" fillId="0" borderId="1" xfId="0" applyNumberFormat="1" applyFont="1" applyBorder="1"/>
    <xf numFmtId="0" fontId="4" fillId="0" borderId="9" xfId="0" applyFont="1" applyBorder="1"/>
    <xf numFmtId="44" fontId="8" fillId="0" borderId="3" xfId="0" applyNumberFormat="1" applyFont="1" applyBorder="1"/>
    <xf numFmtId="15" fontId="6" fillId="0" borderId="1" xfId="0" applyNumberFormat="1" applyFont="1" applyBorder="1" applyAlignment="1">
      <alignment horizontal="center"/>
    </xf>
    <xf numFmtId="15" fontId="6" fillId="0" borderId="7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166" fontId="6" fillId="0" borderId="0" xfId="0" applyNumberFormat="1" applyFont="1"/>
    <xf numFmtId="0" fontId="12" fillId="6" borderId="12" xfId="0" applyFont="1" applyFill="1" applyBorder="1"/>
    <xf numFmtId="14" fontId="12" fillId="6" borderId="11" xfId="0" applyNumberFormat="1" applyFont="1" applyFill="1" applyBorder="1"/>
    <xf numFmtId="0" fontId="12" fillId="6" borderId="11" xfId="0" applyFont="1" applyFill="1" applyBorder="1"/>
    <xf numFmtId="166" fontId="6" fillId="0" borderId="1" xfId="0" applyNumberFormat="1" applyFont="1" applyBorder="1"/>
    <xf numFmtId="15" fontId="6" fillId="0" borderId="3" xfId="0" applyNumberFormat="1" applyFont="1" applyBorder="1" applyAlignment="1">
      <alignment horizontal="center"/>
    </xf>
    <xf numFmtId="15" fontId="6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4" fontId="6" fillId="0" borderId="13" xfId="0" applyNumberFormat="1" applyFont="1" applyBorder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166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2" applyNumberFormat="1" applyFont="1" applyFill="1" applyBorder="1"/>
    <xf numFmtId="2" fontId="6" fillId="0" borderId="1" xfId="2" applyNumberFormat="1" applyFont="1" applyFill="1" applyBorder="1"/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5" fontId="6" fillId="0" borderId="0" xfId="0" applyNumberFormat="1" applyFont="1"/>
    <xf numFmtId="44" fontId="3" fillId="0" borderId="1" xfId="1" applyNumberFormat="1" applyFont="1" applyFill="1" applyBorder="1"/>
    <xf numFmtId="15" fontId="6" fillId="0" borderId="0" xfId="0" applyNumberFormat="1" applyFont="1" applyAlignment="1">
      <alignment horizontal="center"/>
    </xf>
    <xf numFmtId="14" fontId="12" fillId="6" borderId="10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9C0006"/>
      </font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b val="0"/>
        <i/>
        <strike val="0"/>
        <color theme="6" tint="0.39991454817346722"/>
      </font>
    </dxf>
    <dxf>
      <font>
        <b val="0"/>
        <i/>
        <color rgb="FFEE0000"/>
      </font>
    </dxf>
    <dxf>
      <font>
        <b val="0"/>
        <i/>
        <color theme="0" tint="-0.499984740745262"/>
      </font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2F42-151F-4223-81B1-02ACA7B2310B}">
  <dimension ref="B1:N36"/>
  <sheetViews>
    <sheetView showGridLines="0" tabSelected="1" zoomScale="85" zoomScaleNormal="85" workbookViewId="0">
      <selection activeCell="E31" sqref="E31"/>
    </sheetView>
  </sheetViews>
  <sheetFormatPr defaultColWidth="8.88671875" defaultRowHeight="14.4" x14ac:dyDescent="0.3"/>
  <cols>
    <col min="1" max="1" width="1.88671875" style="17" customWidth="1"/>
    <col min="2" max="2" width="33.21875" style="17" bestFit="1" customWidth="1"/>
    <col min="3" max="3" width="13.6640625" style="17" bestFit="1" customWidth="1"/>
    <col min="4" max="4" width="19" style="17" bestFit="1" customWidth="1"/>
    <col min="5" max="5" width="22.5546875" style="18" customWidth="1"/>
    <col min="6" max="6" width="13.33203125" style="19" bestFit="1" customWidth="1"/>
    <col min="7" max="7" width="14.109375" style="17" bestFit="1" customWidth="1"/>
    <col min="8" max="8" width="8.88671875" style="17"/>
    <col min="9" max="9" width="12.5546875" style="17" bestFit="1" customWidth="1"/>
    <col min="10" max="10" width="13.6640625" style="17" bestFit="1" customWidth="1"/>
    <col min="11" max="11" width="12.21875" style="17" bestFit="1" customWidth="1"/>
    <col min="12" max="12" width="12.33203125" style="60" bestFit="1" customWidth="1"/>
    <col min="13" max="13" width="11.6640625" style="21" bestFit="1" customWidth="1"/>
    <col min="14" max="14" width="11.21875" style="80" bestFit="1" customWidth="1"/>
    <col min="15" max="15" width="22.21875" style="17" bestFit="1" customWidth="1"/>
    <col min="16" max="16384" width="8.88671875" style="17"/>
  </cols>
  <sheetData>
    <row r="1" spans="2:14" x14ac:dyDescent="0.3">
      <c r="N1" s="60"/>
    </row>
    <row r="2" spans="2:14" ht="29.4" thickBot="1" x14ac:dyDescent="0.35">
      <c r="B2" s="76" t="s">
        <v>0</v>
      </c>
      <c r="C2" s="77" t="s">
        <v>1</v>
      </c>
      <c r="L2" s="71" t="s">
        <v>69</v>
      </c>
      <c r="M2" s="72">
        <v>40000</v>
      </c>
      <c r="N2" s="70" t="s">
        <v>70</v>
      </c>
    </row>
    <row r="3" spans="2:14" s="20" customFormat="1" x14ac:dyDescent="0.3">
      <c r="E3" s="28" t="s">
        <v>64</v>
      </c>
      <c r="F3" s="35" t="s">
        <v>37</v>
      </c>
      <c r="I3" s="41" t="s">
        <v>65</v>
      </c>
      <c r="J3" s="58">
        <v>45840</v>
      </c>
      <c r="L3" s="41" t="s">
        <v>68</v>
      </c>
      <c r="M3" s="65">
        <f>M2+N3</f>
        <v>40000</v>
      </c>
      <c r="N3" s="79">
        <v>0</v>
      </c>
    </row>
    <row r="4" spans="2:14" x14ac:dyDescent="0.3">
      <c r="B4" s="22" t="s">
        <v>4</v>
      </c>
      <c r="C4" s="55">
        <f>IF(F3="Intraday",5,1)</f>
        <v>5</v>
      </c>
      <c r="I4" s="41" t="s">
        <v>73</v>
      </c>
      <c r="J4" s="58">
        <f ca="1">TODAY()</f>
        <v>45991</v>
      </c>
      <c r="L4" s="41" t="s">
        <v>62</v>
      </c>
      <c r="M4" s="65">
        <f>M3+M6</f>
        <v>46735.03</v>
      </c>
      <c r="N4" s="66"/>
    </row>
    <row r="5" spans="2:14" x14ac:dyDescent="0.3">
      <c r="E5" s="30"/>
      <c r="F5" s="31" t="s">
        <v>2</v>
      </c>
      <c r="G5" s="30" t="s">
        <v>3</v>
      </c>
      <c r="M5" s="60"/>
      <c r="N5" s="17"/>
    </row>
    <row r="6" spans="2:14" x14ac:dyDescent="0.3">
      <c r="B6" s="22" t="s">
        <v>9</v>
      </c>
      <c r="C6" s="23">
        <f ca="1">G10/F13</f>
        <v>240572.81679067851</v>
      </c>
      <c r="E6" s="28" t="s">
        <v>5</v>
      </c>
      <c r="F6" s="29">
        <v>1</v>
      </c>
      <c r="G6" s="23">
        <f>C8</f>
        <v>209400</v>
      </c>
      <c r="I6" s="22" t="s">
        <v>6</v>
      </c>
      <c r="J6" s="43" cm="1">
        <f t="array" ref="J6">LOOKUP(2,1/(M12:M36&gt;=0),M12:M15)</f>
        <v>46735.030000000006</v>
      </c>
      <c r="L6" s="41" t="s">
        <v>60</v>
      </c>
      <c r="M6" s="65">
        <f>SUM(K12:K36)</f>
        <v>6735.0300000000007</v>
      </c>
      <c r="N6" s="67"/>
    </row>
    <row r="7" spans="2:14" x14ac:dyDescent="0.3">
      <c r="B7" s="22" t="s">
        <v>11</v>
      </c>
      <c r="C7" s="23">
        <f>J7</f>
        <v>233675.15000000002</v>
      </c>
      <c r="E7" s="28" t="s">
        <v>7</v>
      </c>
      <c r="F7" s="36">
        <f>F6-F8</f>
        <v>0.8</v>
      </c>
      <c r="G7" s="37">
        <f>G6*F7</f>
        <v>167520</v>
      </c>
      <c r="I7" s="22" t="s">
        <v>8</v>
      </c>
      <c r="J7" s="23">
        <f>J6*C4</f>
        <v>233675.15000000002</v>
      </c>
      <c r="L7" s="41" t="s">
        <v>61</v>
      </c>
      <c r="M7" s="42">
        <f>M6/M3</f>
        <v>0.16837575000000002</v>
      </c>
      <c r="N7" s="17"/>
    </row>
    <row r="8" spans="2:14" x14ac:dyDescent="0.3">
      <c r="B8" s="22" t="s">
        <v>12</v>
      </c>
      <c r="C8" s="23">
        <f>C15*C16</f>
        <v>209400</v>
      </c>
      <c r="E8" s="28" t="s">
        <v>10</v>
      </c>
      <c r="F8" s="29">
        <f>1/C4</f>
        <v>0.2</v>
      </c>
      <c r="G8" s="23">
        <f>G6*F8</f>
        <v>41880</v>
      </c>
      <c r="J8" s="61"/>
      <c r="L8" s="68" t="s">
        <v>71</v>
      </c>
      <c r="M8" s="82" t="str">
        <f>IF(M4=J6,"Sahi Hai Bhai!","Kuch toh gadbad hai Daya!")</f>
        <v>Sahi Hai Bhai!</v>
      </c>
      <c r="N8" s="82"/>
    </row>
    <row r="9" spans="2:14" x14ac:dyDescent="0.3">
      <c r="K9" s="61"/>
      <c r="L9" s="20"/>
      <c r="N9" s="17"/>
    </row>
    <row r="10" spans="2:14" x14ac:dyDescent="0.3">
      <c r="B10" s="22" t="s">
        <v>14</v>
      </c>
      <c r="C10" s="32">
        <v>0</v>
      </c>
      <c r="E10" s="28" t="s">
        <v>13</v>
      </c>
      <c r="F10" s="54">
        <v>0.02</v>
      </c>
      <c r="G10" s="23">
        <f>J6*(F10)</f>
        <v>934.70060000000012</v>
      </c>
      <c r="I10" s="81" t="s">
        <v>57</v>
      </c>
      <c r="J10" s="81"/>
      <c r="K10" s="81"/>
      <c r="L10" s="81"/>
      <c r="M10" s="81"/>
      <c r="N10" s="81"/>
    </row>
    <row r="11" spans="2:14" x14ac:dyDescent="0.3">
      <c r="B11" s="22" t="s">
        <v>15</v>
      </c>
      <c r="C11" s="23"/>
      <c r="H11" s="69"/>
      <c r="I11" s="62" t="s">
        <v>72</v>
      </c>
      <c r="J11" s="63" t="s">
        <v>3</v>
      </c>
      <c r="K11" s="64" t="s">
        <v>58</v>
      </c>
      <c r="L11" s="64" t="s">
        <v>66</v>
      </c>
      <c r="M11" s="64" t="s">
        <v>59</v>
      </c>
      <c r="N11" s="62" t="s">
        <v>67</v>
      </c>
    </row>
    <row r="12" spans="2:14" x14ac:dyDescent="0.3">
      <c r="B12" s="22" t="s">
        <v>56</v>
      </c>
      <c r="C12" s="23">
        <v>0</v>
      </c>
      <c r="E12" s="28" t="s">
        <v>16</v>
      </c>
      <c r="F12" s="29">
        <f ca="1">ABS(($C$15-(F21*$G$10+'Order Estimator'!$C$18)/$C$16)/$C$15-1)</f>
        <v>9.5058134590950694E-3</v>
      </c>
      <c r="G12" s="23">
        <f ca="1">IF(G15="B",C15*(1+F12),C15*(1-F12))</f>
        <v>605.70348807545702</v>
      </c>
      <c r="H12" s="21"/>
      <c r="I12" s="38">
        <v>1</v>
      </c>
      <c r="J12" s="39">
        <f>M3</f>
        <v>40000</v>
      </c>
      <c r="K12" s="39">
        <v>1599.31</v>
      </c>
      <c r="L12" s="60">
        <f>K12/J12</f>
        <v>3.9982749999999997E-2</v>
      </c>
      <c r="M12" s="40">
        <f>J12+K12</f>
        <v>41599.31</v>
      </c>
      <c r="N12" s="59">
        <v>45841</v>
      </c>
    </row>
    <row r="13" spans="2:14" x14ac:dyDescent="0.3">
      <c r="C13" s="21"/>
      <c r="E13" s="28" t="s">
        <v>17</v>
      </c>
      <c r="F13" s="29">
        <f ca="1">ABS(($C$15-($G$10-'Order Estimator'!$C$18)/$C$16)/$C$15-1)</f>
        <v>3.8853126154035911E-3</v>
      </c>
      <c r="G13" s="23">
        <f ca="1">IF(G15="B",C15*(1-F13),C15*(1+F13))</f>
        <v>597.66881243075784</v>
      </c>
      <c r="I13" s="38">
        <v>2</v>
      </c>
      <c r="J13" s="39">
        <f t="shared" ref="J13:J36" si="0">M12</f>
        <v>41599.31</v>
      </c>
      <c r="K13" s="39">
        <v>-831.99</v>
      </c>
      <c r="L13" s="60">
        <f>K13/J13</f>
        <v>-2.0000091347668988E-2</v>
      </c>
      <c r="M13" s="40">
        <f>J13+K13</f>
        <v>40767.32</v>
      </c>
      <c r="N13" s="59">
        <v>45842</v>
      </c>
    </row>
    <row r="14" spans="2:14" x14ac:dyDescent="0.3">
      <c r="B14" s="22" t="s">
        <v>18</v>
      </c>
      <c r="C14" s="29"/>
      <c r="I14" s="38">
        <v>3</v>
      </c>
      <c r="J14" s="39">
        <f t="shared" si="0"/>
        <v>40767.32</v>
      </c>
      <c r="K14" s="39">
        <v>1629.98</v>
      </c>
      <c r="L14" s="60">
        <f>K14/J14</f>
        <v>3.9982515406948506E-2</v>
      </c>
      <c r="M14" s="40">
        <f>J14+K14</f>
        <v>42397.3</v>
      </c>
      <c r="N14" s="59">
        <v>45845</v>
      </c>
    </row>
    <row r="15" spans="2:14" x14ac:dyDescent="0.3">
      <c r="B15" s="47" t="s">
        <v>19</v>
      </c>
      <c r="C15" s="15">
        <v>600</v>
      </c>
      <c r="E15" s="28" t="s">
        <v>20</v>
      </c>
      <c r="F15" s="35" t="s">
        <v>21</v>
      </c>
      <c r="G15" s="44" t="s">
        <v>74</v>
      </c>
      <c r="I15" s="38">
        <v>4</v>
      </c>
      <c r="J15" s="39">
        <f t="shared" si="0"/>
        <v>42397.3</v>
      </c>
      <c r="K15" s="39">
        <v>-847.95</v>
      </c>
      <c r="L15" s="60">
        <f t="shared" ref="L15:L36" si="1">K15/J15</f>
        <v>-2.0000094345630499E-2</v>
      </c>
      <c r="M15" s="46">
        <f t="shared" ref="M15:M36" si="2">J15+K15</f>
        <v>41549.350000000006</v>
      </c>
      <c r="N15" s="59">
        <v>45846</v>
      </c>
    </row>
    <row r="16" spans="2:14" x14ac:dyDescent="0.3">
      <c r="B16" s="16" t="s">
        <v>22</v>
      </c>
      <c r="C16" s="48">
        <f>ROUNDDOWN((C7*0.9)/C15,0) - 1</f>
        <v>349</v>
      </c>
      <c r="I16" s="38">
        <v>5</v>
      </c>
      <c r="J16" s="39">
        <f t="shared" si="0"/>
        <v>41549.350000000006</v>
      </c>
      <c r="K16" s="39">
        <v>1661.26</v>
      </c>
      <c r="L16" s="60">
        <f t="shared" si="1"/>
        <v>3.9982815615647413E-2</v>
      </c>
      <c r="M16" s="46">
        <f t="shared" si="2"/>
        <v>43210.610000000008</v>
      </c>
      <c r="N16" s="59">
        <v>45847</v>
      </c>
    </row>
    <row r="17" spans="2:14" x14ac:dyDescent="0.3">
      <c r="E17" s="33"/>
      <c r="I17" s="38">
        <v>6</v>
      </c>
      <c r="J17" s="39">
        <f t="shared" si="0"/>
        <v>43210.610000000008</v>
      </c>
      <c r="K17" s="39">
        <v>1727.67</v>
      </c>
      <c r="L17" s="60">
        <f t="shared" si="1"/>
        <v>3.9982541324919962E-2</v>
      </c>
      <c r="M17" s="46">
        <f t="shared" si="2"/>
        <v>44938.280000000006</v>
      </c>
      <c r="N17" s="59">
        <v>45848</v>
      </c>
    </row>
    <row r="18" spans="2:14" ht="13.95" customHeight="1" x14ac:dyDescent="0.3">
      <c r="B18" s="22" t="s">
        <v>23</v>
      </c>
      <c r="C18" s="23">
        <f ca="1">IF(G15="B",(G12-C15)*C16,(C15-G12)*C16)</f>
        <v>1990.5173383344988</v>
      </c>
      <c r="E18" s="73" t="s">
        <v>55</v>
      </c>
      <c r="F18" s="74">
        <f ca="1">F12/F13</f>
        <v>2.4466019597518649</v>
      </c>
      <c r="I18" s="38">
        <v>7</v>
      </c>
      <c r="J18" s="39">
        <f t="shared" si="0"/>
        <v>44938.280000000006</v>
      </c>
      <c r="K18" s="39">
        <v>1796.75</v>
      </c>
      <c r="L18" s="60">
        <f t="shared" si="1"/>
        <v>3.9982616157093677E-2</v>
      </c>
      <c r="M18" s="46">
        <f t="shared" si="2"/>
        <v>46735.030000000006</v>
      </c>
      <c r="N18" s="59">
        <v>45849</v>
      </c>
    </row>
    <row r="19" spans="2:14" x14ac:dyDescent="0.3">
      <c r="B19" s="22" t="s">
        <v>24</v>
      </c>
      <c r="C19" s="23">
        <f ca="1">IF(G15="B",(G13-C15)*C16,(C15-G13)*C16)</f>
        <v>-813.58446166551414</v>
      </c>
      <c r="E19" s="73" t="s">
        <v>54</v>
      </c>
      <c r="F19" s="75">
        <f ca="1">ABS(C20/C21)</f>
        <v>1.9991429590892562</v>
      </c>
      <c r="I19" s="38">
        <v>8</v>
      </c>
      <c r="J19" s="39">
        <f t="shared" si="0"/>
        <v>46735.030000000006</v>
      </c>
      <c r="K19" s="39"/>
      <c r="L19" s="60">
        <f t="shared" si="1"/>
        <v>0</v>
      </c>
      <c r="M19" s="46">
        <f t="shared" si="2"/>
        <v>46735.030000000006</v>
      </c>
      <c r="N19" s="59"/>
    </row>
    <row r="20" spans="2:14" x14ac:dyDescent="0.3">
      <c r="B20" s="24" t="s">
        <v>25</v>
      </c>
      <c r="C20" s="25">
        <f ca="1">IF(G15="B",C18-C11-'Order Estimator'!C17,-C11+C18-'Order Estimator'!C17)</f>
        <v>1868.6001233465213</v>
      </c>
      <c r="E20" s="34"/>
      <c r="F20" s="27"/>
      <c r="I20" s="38">
        <v>9</v>
      </c>
      <c r="J20" s="39">
        <f t="shared" si="0"/>
        <v>46735.030000000006</v>
      </c>
      <c r="K20" s="39"/>
      <c r="L20" s="60">
        <f t="shared" si="1"/>
        <v>0</v>
      </c>
      <c r="M20" s="46">
        <f t="shared" si="2"/>
        <v>46735.030000000006</v>
      </c>
      <c r="N20" s="59"/>
    </row>
    <row r="21" spans="2:14" x14ac:dyDescent="0.3">
      <c r="B21" s="24" t="s">
        <v>26</v>
      </c>
      <c r="C21" s="26">
        <f ca="1">IF(G15="B",C19-C11-'Order Estimator'!C18,-C11+C19-'Order Estimator'!C18)</f>
        <v>-934.70060000000899</v>
      </c>
      <c r="E21" s="33" t="s">
        <v>63</v>
      </c>
      <c r="F21" s="49">
        <v>2</v>
      </c>
      <c r="I21" s="38">
        <v>10</v>
      </c>
      <c r="J21" s="39">
        <f t="shared" si="0"/>
        <v>46735.030000000006</v>
      </c>
      <c r="K21" s="39"/>
      <c r="L21" s="60">
        <f t="shared" si="1"/>
        <v>0</v>
      </c>
      <c r="M21" s="46">
        <f t="shared" si="2"/>
        <v>46735.030000000006</v>
      </c>
      <c r="N21" s="59"/>
    </row>
    <row r="22" spans="2:14" x14ac:dyDescent="0.3">
      <c r="E22" s="45"/>
      <c r="F22" s="17"/>
      <c r="I22" s="38">
        <v>11</v>
      </c>
      <c r="J22" s="39">
        <f t="shared" si="0"/>
        <v>46735.030000000006</v>
      </c>
      <c r="K22" s="39"/>
      <c r="L22" s="60">
        <f t="shared" si="1"/>
        <v>0</v>
      </c>
      <c r="M22" s="46">
        <f t="shared" si="2"/>
        <v>46735.030000000006</v>
      </c>
      <c r="N22" s="59"/>
    </row>
    <row r="23" spans="2:14" x14ac:dyDescent="0.3">
      <c r="E23" s="17"/>
      <c r="F23" s="78"/>
      <c r="I23" s="38">
        <v>12</v>
      </c>
      <c r="J23" s="39">
        <f t="shared" si="0"/>
        <v>46735.030000000006</v>
      </c>
      <c r="K23" s="39"/>
      <c r="L23" s="60">
        <f t="shared" si="1"/>
        <v>0</v>
      </c>
      <c r="M23" s="46">
        <f t="shared" si="2"/>
        <v>46735.030000000006</v>
      </c>
      <c r="N23" s="59"/>
    </row>
    <row r="24" spans="2:14" x14ac:dyDescent="0.3">
      <c r="E24" s="17"/>
      <c r="F24" s="78"/>
      <c r="I24" s="38">
        <v>13</v>
      </c>
      <c r="J24" s="39">
        <f t="shared" si="0"/>
        <v>46735.030000000006</v>
      </c>
      <c r="K24" s="39"/>
      <c r="L24" s="60">
        <f t="shared" si="1"/>
        <v>0</v>
      </c>
      <c r="M24" s="46">
        <f t="shared" si="2"/>
        <v>46735.030000000006</v>
      </c>
      <c r="N24" s="59"/>
    </row>
    <row r="25" spans="2:14" x14ac:dyDescent="0.3">
      <c r="F25" s="78"/>
      <c r="I25" s="38">
        <v>14</v>
      </c>
      <c r="J25" s="39">
        <f t="shared" si="0"/>
        <v>46735.030000000006</v>
      </c>
      <c r="K25" s="39"/>
      <c r="L25" s="60">
        <f t="shared" si="1"/>
        <v>0</v>
      </c>
      <c r="M25" s="46">
        <f t="shared" si="2"/>
        <v>46735.030000000006</v>
      </c>
      <c r="N25" s="59"/>
    </row>
    <row r="26" spans="2:14" x14ac:dyDescent="0.3">
      <c r="C26" s="21"/>
      <c r="F26" s="78"/>
      <c r="I26" s="38">
        <v>15</v>
      </c>
      <c r="J26" s="39">
        <f t="shared" si="0"/>
        <v>46735.030000000006</v>
      </c>
      <c r="K26" s="39"/>
      <c r="L26" s="60">
        <f t="shared" si="1"/>
        <v>0</v>
      </c>
      <c r="M26" s="46">
        <f t="shared" si="2"/>
        <v>46735.030000000006</v>
      </c>
      <c r="N26" s="59"/>
    </row>
    <row r="27" spans="2:14" x14ac:dyDescent="0.3">
      <c r="E27" s="17"/>
      <c r="F27" s="17"/>
      <c r="I27" s="38">
        <v>16</v>
      </c>
      <c r="J27" s="39">
        <f t="shared" si="0"/>
        <v>46735.030000000006</v>
      </c>
      <c r="K27" s="39"/>
      <c r="L27" s="60">
        <f t="shared" si="1"/>
        <v>0</v>
      </c>
      <c r="M27" s="46">
        <f t="shared" si="2"/>
        <v>46735.030000000006</v>
      </c>
      <c r="N27" s="59"/>
    </row>
    <row r="28" spans="2:14" x14ac:dyDescent="0.3">
      <c r="E28" s="17"/>
      <c r="F28" s="17"/>
      <c r="I28" s="38">
        <v>17</v>
      </c>
      <c r="J28" s="39">
        <f t="shared" si="0"/>
        <v>46735.030000000006</v>
      </c>
      <c r="K28" s="39"/>
      <c r="L28" s="60">
        <f t="shared" si="1"/>
        <v>0</v>
      </c>
      <c r="M28" s="46">
        <f t="shared" si="2"/>
        <v>46735.030000000006</v>
      </c>
      <c r="N28" s="59"/>
    </row>
    <row r="29" spans="2:14" x14ac:dyDescent="0.3">
      <c r="E29" s="17"/>
      <c r="F29" s="17"/>
      <c r="I29" s="38">
        <v>18</v>
      </c>
      <c r="J29" s="39">
        <f t="shared" si="0"/>
        <v>46735.030000000006</v>
      </c>
      <c r="K29" s="39"/>
      <c r="L29" s="60">
        <f t="shared" si="1"/>
        <v>0</v>
      </c>
      <c r="M29" s="46">
        <f t="shared" si="2"/>
        <v>46735.030000000006</v>
      </c>
      <c r="N29" s="59"/>
    </row>
    <row r="30" spans="2:14" x14ac:dyDescent="0.3">
      <c r="E30" s="17"/>
      <c r="F30" s="17"/>
      <c r="I30" s="38">
        <v>19</v>
      </c>
      <c r="J30" s="39">
        <f t="shared" si="0"/>
        <v>46735.030000000006</v>
      </c>
      <c r="K30" s="39"/>
      <c r="L30" s="60">
        <f t="shared" si="1"/>
        <v>0</v>
      </c>
      <c r="M30" s="46">
        <f t="shared" si="2"/>
        <v>46735.030000000006</v>
      </c>
      <c r="N30" s="59"/>
    </row>
    <row r="31" spans="2:14" x14ac:dyDescent="0.3">
      <c r="E31" s="17"/>
      <c r="F31" s="17"/>
      <c r="I31" s="38">
        <v>20</v>
      </c>
      <c r="J31" s="39">
        <f t="shared" si="0"/>
        <v>46735.030000000006</v>
      </c>
      <c r="K31" s="39"/>
      <c r="L31" s="60">
        <f t="shared" si="1"/>
        <v>0</v>
      </c>
      <c r="M31" s="46">
        <f t="shared" si="2"/>
        <v>46735.030000000006</v>
      </c>
      <c r="N31" s="59"/>
    </row>
    <row r="32" spans="2:14" x14ac:dyDescent="0.3">
      <c r="E32" s="17"/>
      <c r="F32" s="17"/>
      <c r="I32" s="38">
        <v>21</v>
      </c>
      <c r="J32" s="39">
        <f t="shared" si="0"/>
        <v>46735.030000000006</v>
      </c>
      <c r="K32" s="39"/>
      <c r="L32" s="60">
        <f t="shared" si="1"/>
        <v>0</v>
      </c>
      <c r="M32" s="46">
        <f t="shared" si="2"/>
        <v>46735.030000000006</v>
      </c>
      <c r="N32" s="59"/>
    </row>
    <row r="33" spans="9:14" x14ac:dyDescent="0.3">
      <c r="I33" s="38">
        <v>22</v>
      </c>
      <c r="J33" s="39">
        <f t="shared" si="0"/>
        <v>46735.030000000006</v>
      </c>
      <c r="K33" s="39">
        <v>0</v>
      </c>
      <c r="L33" s="60">
        <f t="shared" si="1"/>
        <v>0</v>
      </c>
      <c r="M33" s="46">
        <f t="shared" si="2"/>
        <v>46735.030000000006</v>
      </c>
      <c r="N33" s="59"/>
    </row>
    <row r="34" spans="9:14" x14ac:dyDescent="0.3">
      <c r="I34" s="38">
        <v>23</v>
      </c>
      <c r="J34" s="39">
        <f t="shared" si="0"/>
        <v>46735.030000000006</v>
      </c>
      <c r="K34" s="39">
        <v>0</v>
      </c>
      <c r="L34" s="60">
        <f t="shared" si="1"/>
        <v>0</v>
      </c>
      <c r="M34" s="46">
        <f t="shared" si="2"/>
        <v>46735.030000000006</v>
      </c>
      <c r="N34" s="59"/>
    </row>
    <row r="35" spans="9:14" x14ac:dyDescent="0.3">
      <c r="I35" s="38">
        <v>24</v>
      </c>
      <c r="J35" s="39">
        <f t="shared" si="0"/>
        <v>46735.030000000006</v>
      </c>
      <c r="K35" s="39">
        <v>0</v>
      </c>
      <c r="L35" s="60">
        <f t="shared" si="1"/>
        <v>0</v>
      </c>
      <c r="M35" s="46">
        <f t="shared" si="2"/>
        <v>46735.030000000006</v>
      </c>
      <c r="N35" s="59"/>
    </row>
    <row r="36" spans="9:14" x14ac:dyDescent="0.3">
      <c r="I36" s="38">
        <v>25</v>
      </c>
      <c r="J36" s="39">
        <f t="shared" si="0"/>
        <v>46735.030000000006</v>
      </c>
      <c r="K36" s="39">
        <v>0</v>
      </c>
      <c r="L36" s="60">
        <f t="shared" si="1"/>
        <v>0</v>
      </c>
      <c r="M36" s="46">
        <f t="shared" si="2"/>
        <v>46735.030000000006</v>
      </c>
      <c r="N36" s="59"/>
    </row>
  </sheetData>
  <mergeCells count="2">
    <mergeCell ref="I10:N10"/>
    <mergeCell ref="M8:N8"/>
  </mergeCells>
  <phoneticPr fontId="2" type="noConversion"/>
  <conditionalFormatting sqref="C6:C8">
    <cfRule type="cellIs" dxfId="16" priority="40" operator="greaterThan">
      <formula>$J$7</formula>
    </cfRule>
  </conditionalFormatting>
  <conditionalFormatting sqref="G15">
    <cfRule type="containsText" dxfId="15" priority="36" operator="containsText" text="S">
      <formula>NOT(ISERROR(SEARCH("S",G15)))</formula>
    </cfRule>
    <cfRule type="containsText" dxfId="14" priority="37" operator="containsText" text="B">
      <formula>NOT(ISERROR(SEARCH("B",G15)))</formula>
    </cfRule>
  </conditionalFormatting>
  <conditionalFormatting sqref="K12:K36">
    <cfRule type="cellIs" dxfId="13" priority="9" operator="equal">
      <formula>0</formula>
    </cfRule>
    <cfRule type="cellIs" dxfId="12" priority="10" operator="lessThan">
      <formula>0</formula>
    </cfRule>
    <cfRule type="cellIs" dxfId="11" priority="11" operator="greaterThan">
      <formula>0</formula>
    </cfRule>
  </conditionalFormatting>
  <conditionalFormatting sqref="L12:L36">
    <cfRule type="cellIs" dxfId="10" priority="6" operator="greaterThan">
      <formula>0.042</formula>
    </cfRule>
    <cfRule type="cellIs" dxfId="9" priority="7" operator="lessThan">
      <formula>-0.02</formula>
    </cfRule>
    <cfRule type="cellIs" dxfId="8" priority="8" operator="lessThan">
      <formula>0</formula>
    </cfRule>
    <cfRule type="cellIs" dxfId="7" priority="25" operator="greaterThan">
      <formula>0</formula>
    </cfRule>
  </conditionalFormatting>
  <conditionalFormatting sqref="M4">
    <cfRule type="cellIs" dxfId="6" priority="21" operator="lessThan">
      <formula>$M$3</formula>
    </cfRule>
    <cfRule type="cellIs" dxfId="5" priority="22" operator="greaterThan">
      <formula>$M$3</formula>
    </cfRule>
  </conditionalFormatting>
  <conditionalFormatting sqref="M6:M7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M12:M36">
    <cfRule type="cellIs" dxfId="2" priority="28" operator="equal">
      <formula>J12</formula>
    </cfRule>
    <cfRule type="cellIs" dxfId="1" priority="29" operator="lessThan">
      <formula>J12</formula>
    </cfRule>
    <cfRule type="cellIs" dxfId="0" priority="30" operator="greaterThan">
      <formula>J12</formula>
    </cfRule>
  </conditionalFormatting>
  <dataValidations count="3">
    <dataValidation type="list" allowBlank="1" showInputMessage="1" showErrorMessage="1" sqref="F3" xr:uid="{B17116C4-8421-4D7E-A5AC-C931239FA042}">
      <formula1>"Intraday, Delivery"</formula1>
    </dataValidation>
    <dataValidation errorStyle="warning" allowBlank="1" showInputMessage="1" showErrorMessage="1" promptTitle="If you have Input Delivery Trade" prompt="Please change it to Buy" sqref="G15" xr:uid="{66DC2D75-08FF-4ED8-876D-00919A3E2C83}"/>
    <dataValidation type="custom" allowBlank="1" showInputMessage="1" showErrorMessage="1" sqref="M6" xr:uid="{D10B8948-D2E9-440B-8013-2DDB496B3E6F}">
      <formula1>M4-M3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5E84-E0E4-4953-BED1-14E36287C6E2}">
  <dimension ref="B2:O29"/>
  <sheetViews>
    <sheetView showGridLines="0" zoomScaleNormal="100" workbookViewId="0">
      <selection activeCell="I5" sqref="I5"/>
    </sheetView>
  </sheetViews>
  <sheetFormatPr defaultColWidth="8.88671875" defaultRowHeight="15" x14ac:dyDescent="0.25"/>
  <cols>
    <col min="1" max="1" width="1.88671875" style="1" customWidth="1"/>
    <col min="2" max="2" width="28.5546875" style="1" customWidth="1"/>
    <col min="3" max="3" width="16.109375" style="1" bestFit="1" customWidth="1"/>
    <col min="4" max="4" width="8.88671875" style="1"/>
    <col min="5" max="5" width="37.109375" style="1" bestFit="1" customWidth="1"/>
    <col min="6" max="6" width="16.109375" style="1" bestFit="1" customWidth="1"/>
    <col min="7" max="7" width="3.88671875" style="1" customWidth="1"/>
    <col min="8" max="8" width="37.109375" style="1" bestFit="1" customWidth="1"/>
    <col min="9" max="9" width="16.109375" style="1" bestFit="1" customWidth="1"/>
    <col min="10" max="11" width="8.88671875" style="1" customWidth="1"/>
    <col min="12" max="12" width="9.6640625" style="1" bestFit="1" customWidth="1"/>
    <col min="13" max="14" width="8.88671875" style="1" customWidth="1"/>
    <col min="15" max="15" width="9.6640625" style="1" bestFit="1" customWidth="1"/>
    <col min="16" max="16368" width="8.88671875" style="1"/>
    <col min="16369" max="16369" width="8.88671875" style="1" customWidth="1"/>
    <col min="16370" max="16384" width="8.88671875" style="1"/>
  </cols>
  <sheetData>
    <row r="2" spans="2:15" s="2" customFormat="1" ht="15.6" x14ac:dyDescent="0.3">
      <c r="B2" s="3" t="s">
        <v>27</v>
      </c>
      <c r="C2" s="6"/>
      <c r="E2" s="83" t="s">
        <v>28</v>
      </c>
      <c r="F2" s="83"/>
      <c r="H2" s="83" t="s">
        <v>29</v>
      </c>
      <c r="I2" s="83"/>
      <c r="K2" s="84"/>
      <c r="L2" s="84"/>
      <c r="N2" s="84"/>
      <c r="O2" s="84"/>
    </row>
    <row r="3" spans="2:15" ht="15.6" x14ac:dyDescent="0.3">
      <c r="B3" s="1" t="s">
        <v>30</v>
      </c>
      <c r="C3" s="9">
        <f>'Intraday or Delivery RM'!C16</f>
        <v>349</v>
      </c>
      <c r="E3" s="4" t="s">
        <v>31</v>
      </c>
      <c r="F3" s="6"/>
      <c r="H3" s="4" t="s">
        <v>31</v>
      </c>
      <c r="I3" s="6"/>
      <c r="K3" s="12"/>
      <c r="L3" s="2"/>
      <c r="N3" s="12"/>
      <c r="O3" s="2"/>
    </row>
    <row r="4" spans="2:15" x14ac:dyDescent="0.25">
      <c r="B4" s="1" t="s">
        <v>32</v>
      </c>
      <c r="C4" s="8">
        <f>'Intraday or Delivery RM'!C15</f>
        <v>600</v>
      </c>
      <c r="E4" s="1" t="s">
        <v>33</v>
      </c>
      <c r="F4" s="10">
        <f>C5</f>
        <v>209400</v>
      </c>
      <c r="H4" s="1" t="s">
        <v>33</v>
      </c>
      <c r="I4" s="10">
        <f ca="1">'Intraday or Delivery RM'!G12*'Order Estimator'!C3</f>
        <v>211390.5173383345</v>
      </c>
      <c r="L4" s="13"/>
      <c r="O4" s="13"/>
    </row>
    <row r="5" spans="2:15" x14ac:dyDescent="0.25">
      <c r="B5" s="1" t="s">
        <v>34</v>
      </c>
      <c r="C5" s="7">
        <f>C4*C3</f>
        <v>209400</v>
      </c>
      <c r="E5" s="1" t="s">
        <v>35</v>
      </c>
      <c r="F5" s="7">
        <f>IF('Intraday or Delivery RM'!$F$3="Intraday",IF(ROUND(($C$5*0.03)/100,2)&gt;20,20,ROUND(($C$5*0.03)/100,2)),0)</f>
        <v>20</v>
      </c>
      <c r="H5" s="1" t="s">
        <v>36</v>
      </c>
      <c r="I5" s="7">
        <f>IF('Intraday or Delivery RM'!$F$3="Intraday",IF(ROUND(($C$5*0.03)/100,2)&gt;20,20,ROUND(($C$5*0.03)/100,2)),0)</f>
        <v>20</v>
      </c>
      <c r="L5" s="13"/>
      <c r="O5" s="13"/>
    </row>
    <row r="6" spans="2:15" x14ac:dyDescent="0.25">
      <c r="B6" s="1" t="s">
        <v>20</v>
      </c>
      <c r="C6" s="5" t="s">
        <v>37</v>
      </c>
      <c r="E6" s="1" t="s">
        <v>38</v>
      </c>
      <c r="F6" s="7">
        <f>F4*0.00297/100</f>
        <v>6.2191799999999997</v>
      </c>
      <c r="H6" s="1" t="s">
        <v>38</v>
      </c>
      <c r="I6" s="7">
        <f ca="1">I4*0.00297/100</f>
        <v>6.2782983649485349</v>
      </c>
      <c r="L6" s="13"/>
      <c r="O6" s="13"/>
    </row>
    <row r="7" spans="2:15" x14ac:dyDescent="0.25">
      <c r="B7" s="1" t="s">
        <v>39</v>
      </c>
      <c r="C7" s="5" t="s">
        <v>40</v>
      </c>
      <c r="E7" s="1" t="s">
        <v>41</v>
      </c>
      <c r="F7" s="7">
        <f>IF('Intraday or Delivery RM'!$F$3="Intraday",0,ROUND(F4*0.1/100,2))</f>
        <v>0</v>
      </c>
      <c r="H7" s="1" t="s">
        <v>41</v>
      </c>
      <c r="I7" s="7">
        <f ca="1">IF('Intraday or Delivery RM'!$F$3="Intraday",ROUND(I4*0.025/100,2),ROUND(I4*0.1/100,2))</f>
        <v>52.85</v>
      </c>
      <c r="L7" s="13"/>
      <c r="O7" s="13"/>
    </row>
    <row r="8" spans="2:15" x14ac:dyDescent="0.25">
      <c r="E8" s="1" t="s">
        <v>42</v>
      </c>
      <c r="F8" s="7">
        <f>(F5+F6)*0.18</f>
        <v>4.7194523999999998</v>
      </c>
      <c r="H8" s="1" t="s">
        <v>42</v>
      </c>
      <c r="I8" s="7">
        <f ca="1">(I5+I6)*0.18</f>
        <v>4.7300937056907362</v>
      </c>
      <c r="L8" s="13"/>
      <c r="O8" s="13"/>
    </row>
    <row r="9" spans="2:15" x14ac:dyDescent="0.25">
      <c r="E9" s="1" t="s">
        <v>43</v>
      </c>
      <c r="F9" s="7">
        <f>F4*0.0001/100</f>
        <v>0.2094</v>
      </c>
      <c r="H9" s="1" t="s">
        <v>43</v>
      </c>
      <c r="I9" s="7">
        <f ca="1">I4*0.0001/100</f>
        <v>0.2113905173383345</v>
      </c>
      <c r="L9" s="13"/>
      <c r="O9" s="13"/>
    </row>
    <row r="10" spans="2:15" x14ac:dyDescent="0.25">
      <c r="E10" s="1" t="s">
        <v>44</v>
      </c>
      <c r="F10" s="7">
        <f>F4*0.0001/100</f>
        <v>0.2094</v>
      </c>
      <c r="H10" s="1" t="s">
        <v>44</v>
      </c>
      <c r="I10" s="7">
        <f ca="1">ROUND(I4*0.0001/100,2)</f>
        <v>0.21</v>
      </c>
      <c r="L10" s="13"/>
      <c r="O10" s="13"/>
    </row>
    <row r="11" spans="2:15" x14ac:dyDescent="0.25">
      <c r="E11" s="1" t="s">
        <v>45</v>
      </c>
      <c r="F11" s="7">
        <v>0</v>
      </c>
      <c r="H11" s="1" t="s">
        <v>45</v>
      </c>
      <c r="I11" s="7">
        <v>0</v>
      </c>
      <c r="L11" s="13"/>
      <c r="O11" s="13"/>
    </row>
    <row r="12" spans="2:15" x14ac:dyDescent="0.25">
      <c r="E12" s="1" t="s">
        <v>46</v>
      </c>
      <c r="F12" s="7">
        <f>IF('Intraday or Delivery RM'!F3="Intraday",ROUND(F4*0.003/100,2),ROUND(F4*0.015/100,2))</f>
        <v>6.28</v>
      </c>
      <c r="H12" s="1" t="s">
        <v>46</v>
      </c>
      <c r="I12" s="7">
        <v>0</v>
      </c>
      <c r="L12" s="13"/>
      <c r="O12" s="13"/>
    </row>
    <row r="13" spans="2:15" x14ac:dyDescent="0.25">
      <c r="E13" s="1" t="s">
        <v>47</v>
      </c>
      <c r="F13" s="7">
        <v>0</v>
      </c>
      <c r="H13" s="1" t="s">
        <v>47</v>
      </c>
      <c r="I13" s="7">
        <f>IF('Intraday or Delivery RM'!$F$3="Intraday",0,12.5*(1+18%))</f>
        <v>0</v>
      </c>
      <c r="L13" s="13"/>
      <c r="O13" s="13"/>
    </row>
    <row r="14" spans="2:15" ht="15.6" x14ac:dyDescent="0.3">
      <c r="E14" s="56" t="s">
        <v>48</v>
      </c>
      <c r="F14" s="57">
        <f>SUM(F5:F13)</f>
        <v>37.637432400000002</v>
      </c>
      <c r="H14" s="56" t="s">
        <v>49</v>
      </c>
      <c r="I14" s="57">
        <f ca="1">SUM(I5:I13)</f>
        <v>84.279782587977593</v>
      </c>
      <c r="L14" s="13"/>
      <c r="O14" s="13"/>
    </row>
    <row r="15" spans="2:15" x14ac:dyDescent="0.25">
      <c r="F15" s="13"/>
      <c r="I15" s="13"/>
      <c r="L15" s="13"/>
      <c r="O15" s="13"/>
    </row>
    <row r="16" spans="2:15" ht="15.6" x14ac:dyDescent="0.3">
      <c r="B16" s="3" t="s">
        <v>50</v>
      </c>
      <c r="C16" s="14"/>
      <c r="F16" s="13"/>
      <c r="I16" s="13"/>
      <c r="L16" s="13"/>
      <c r="O16" s="13"/>
    </row>
    <row r="17" spans="2:9" ht="15.6" x14ac:dyDescent="0.3">
      <c r="B17" s="50" t="s">
        <v>51</v>
      </c>
      <c r="C17" s="51">
        <f ca="1">F14+I14</f>
        <v>121.91721498797759</v>
      </c>
      <c r="H17" s="11" t="s">
        <v>52</v>
      </c>
      <c r="I17" s="11"/>
    </row>
    <row r="18" spans="2:9" ht="15.6" x14ac:dyDescent="0.3">
      <c r="B18" s="52" t="s">
        <v>53</v>
      </c>
      <c r="C18" s="53">
        <f ca="1">F14+I29</f>
        <v>121.11613833449479</v>
      </c>
      <c r="H18" s="4" t="s">
        <v>31</v>
      </c>
      <c r="I18" s="6"/>
    </row>
    <row r="19" spans="2:9" x14ac:dyDescent="0.25">
      <c r="H19" s="1" t="s">
        <v>33</v>
      </c>
      <c r="I19" s="10">
        <f ca="1">C3*'Intraday or Delivery RM'!G13</f>
        <v>208586.41553833449</v>
      </c>
    </row>
    <row r="20" spans="2:9" ht="15.6" x14ac:dyDescent="0.3">
      <c r="E20" s="2"/>
      <c r="F20" s="2"/>
      <c r="G20" s="2"/>
      <c r="H20" s="1" t="s">
        <v>36</v>
      </c>
      <c r="I20" s="7">
        <f>IF('Intraday or Delivery RM'!$F$3="Intraday",IF(ROUND(($C$5*0.03)/100,2)&gt;20,20,ROUND(($C$5*0.03)/100,2)),0)</f>
        <v>20</v>
      </c>
    </row>
    <row r="21" spans="2:9" ht="15.6" x14ac:dyDescent="0.3">
      <c r="E21" s="12"/>
      <c r="F21" s="2"/>
      <c r="H21" s="1" t="s">
        <v>38</v>
      </c>
      <c r="I21" s="7">
        <f ca="1">I19*0.00297/100</f>
        <v>6.1950165414885339</v>
      </c>
    </row>
    <row r="22" spans="2:9" x14ac:dyDescent="0.25">
      <c r="F22" s="13"/>
      <c r="H22" s="1" t="s">
        <v>41</v>
      </c>
      <c r="I22" s="7">
        <f ca="1">IF('Intraday or Delivery RM'!$F$3="Intraday",ROUND(I19*0.025/100,2),ROUND(I19*0.1/100,2))</f>
        <v>52.15</v>
      </c>
    </row>
    <row r="23" spans="2:9" x14ac:dyDescent="0.25">
      <c r="F23" s="13"/>
      <c r="H23" s="1" t="s">
        <v>42</v>
      </c>
      <c r="I23" s="7">
        <f ca="1">(I20+I21)*0.18</f>
        <v>4.7151029774679358</v>
      </c>
    </row>
    <row r="24" spans="2:9" x14ac:dyDescent="0.25">
      <c r="F24" s="13"/>
      <c r="H24" s="1" t="s">
        <v>43</v>
      </c>
      <c r="I24" s="7">
        <f ca="1">I19*0.0001/100</f>
        <v>0.20858641553833451</v>
      </c>
    </row>
    <row r="25" spans="2:9" x14ac:dyDescent="0.25">
      <c r="F25" s="13"/>
      <c r="H25" s="1" t="s">
        <v>44</v>
      </c>
      <c r="I25" s="7">
        <f ca="1">ROUND(I19*0.0001/100,2)</f>
        <v>0.21</v>
      </c>
    </row>
    <row r="26" spans="2:9" x14ac:dyDescent="0.25">
      <c r="F26" s="13"/>
      <c r="H26" s="1" t="s">
        <v>45</v>
      </c>
      <c r="I26" s="7">
        <v>0</v>
      </c>
    </row>
    <row r="27" spans="2:9" x14ac:dyDescent="0.25">
      <c r="F27" s="13"/>
      <c r="H27" s="1" t="s">
        <v>46</v>
      </c>
      <c r="I27" s="7">
        <v>0</v>
      </c>
    </row>
    <row r="28" spans="2:9" x14ac:dyDescent="0.25">
      <c r="F28" s="13"/>
      <c r="H28" s="1" t="s">
        <v>47</v>
      </c>
      <c r="I28" s="7">
        <f>IF('Intraday or Delivery RM'!$F$3="Intraday",0,12.5*(1+18%))</f>
        <v>0</v>
      </c>
    </row>
    <row r="29" spans="2:9" ht="15.6" x14ac:dyDescent="0.3">
      <c r="F29" s="13"/>
      <c r="H29" s="56" t="s">
        <v>49</v>
      </c>
      <c r="I29" s="57">
        <f ca="1">SUM(I20:I28)</f>
        <v>83.478705934494798</v>
      </c>
    </row>
  </sheetData>
  <mergeCells count="4"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or Delivery RM</vt:lpstr>
      <vt:lpstr>Order Estimator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Naman Choudhary</dc:creator>
  <cp:keywords/>
  <dc:description/>
  <cp:lastModifiedBy>Naman Choudhary</cp:lastModifiedBy>
  <cp:revision/>
  <dcterms:created xsi:type="dcterms:W3CDTF">2025-06-11T12:46:37Z</dcterms:created>
  <dcterms:modified xsi:type="dcterms:W3CDTF">2025-11-30T13:05:52Z</dcterms:modified>
  <cp:category/>
  <cp:contentStatus/>
</cp:coreProperties>
</file>